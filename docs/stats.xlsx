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marc\GitHub\304-game\docs\"/>
    </mc:Choice>
  </mc:AlternateContent>
  <xr:revisionPtr revIDLastSave="0" documentId="13_ncr:1_{226B2D8F-8E9C-4084-98E0-13FC6F7DBC2A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Revolutions" sheetId="1" r:id="rId1"/>
    <sheet name="Matches" sheetId="3" r:id="rId2"/>
    <sheet name="Betting" sheetId="5" state="hidden" r:id="rId3"/>
    <sheet name="By Player" sheetId="4" r:id="rId4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 a="1"/>
  <c r="I32" i="1" s="1"/>
  <c r="H32" i="1" a="1"/>
  <c r="H32" i="1" s="1"/>
  <c r="G32" i="1" a="1"/>
  <c r="G32" i="1" s="1"/>
  <c r="F32" i="1" a="1"/>
  <c r="F32" i="1" s="1"/>
  <c r="I93" i="3"/>
  <c r="I92" i="3"/>
  <c r="I91" i="3"/>
  <c r="K93" i="3"/>
  <c r="K92" i="3"/>
  <c r="K91" i="3"/>
  <c r="E32" i="1"/>
  <c r="A32" i="1"/>
  <c r="I90" i="3"/>
  <c r="I89" i="3"/>
  <c r="I88" i="3"/>
  <c r="K90" i="3"/>
  <c r="K89" i="3"/>
  <c r="K88" i="3"/>
  <c r="A31" i="1"/>
  <c r="E31" i="1"/>
  <c r="I87" i="3"/>
  <c r="I86" i="3"/>
  <c r="I85" i="3"/>
  <c r="I84" i="3"/>
  <c r="I83" i="3"/>
  <c r="I82" i="3"/>
  <c r="K87" i="3"/>
  <c r="K86" i="3"/>
  <c r="K85" i="3"/>
  <c r="K84" i="3"/>
  <c r="K83" i="3"/>
  <c r="K82" i="3"/>
  <c r="A29" i="1"/>
  <c r="E30" i="1"/>
  <c r="E29" i="1"/>
  <c r="A30" i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2" i="3"/>
  <c r="I81" i="3"/>
  <c r="I80" i="3"/>
  <c r="I79" i="3"/>
  <c r="I78" i="3"/>
  <c r="I77" i="3"/>
  <c r="I76" i="3"/>
  <c r="A27" i="1"/>
  <c r="E28" i="1"/>
  <c r="A28" i="1"/>
  <c r="A22" i="1"/>
  <c r="E27" i="1"/>
  <c r="A23" i="1"/>
  <c r="A24" i="1"/>
  <c r="I75" i="3"/>
  <c r="I74" i="3"/>
  <c r="I73" i="3"/>
  <c r="I72" i="3"/>
  <c r="I71" i="3"/>
  <c r="I70" i="3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I57" i="3"/>
  <c r="I56" i="3"/>
  <c r="I55" i="3"/>
  <c r="I54" i="3"/>
  <c r="I53" i="3"/>
  <c r="I52" i="3"/>
  <c r="I51" i="3"/>
  <c r="I50" i="3"/>
  <c r="A19" i="1"/>
  <c r="A20" i="1"/>
  <c r="A18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I29" i="1" l="1" a="1"/>
  <c r="I29" i="1" s="1"/>
  <c r="I30" i="1" a="1"/>
  <c r="I30" i="1" s="1"/>
  <c r="F31" i="1" a="1"/>
  <c r="F31" i="1" s="1"/>
  <c r="I31" i="1" a="1"/>
  <c r="I31" i="1" s="1"/>
  <c r="H31" i="1" a="1"/>
  <c r="H31" i="1" s="1"/>
  <c r="G31" i="1" a="1"/>
  <c r="G31" i="1" s="1"/>
  <c r="F30" i="1" a="1"/>
  <c r="F30" i="1" s="1"/>
  <c r="F29" i="1" a="1"/>
  <c r="F29" i="1" s="1"/>
  <c r="G30" i="1" a="1"/>
  <c r="G30" i="1" s="1"/>
  <c r="G29" i="1" a="1"/>
  <c r="G29" i="1" s="1"/>
  <c r="H30" i="1" a="1"/>
  <c r="H30" i="1" s="1"/>
  <c r="H29" i="1" a="1"/>
  <c r="H29" i="1" s="1"/>
  <c r="I27" i="1" a="1"/>
  <c r="I27" i="1" s="1"/>
  <c r="I28" i="1" a="1"/>
  <c r="I28" i="1" s="1"/>
  <c r="I26" i="1" a="1"/>
  <c r="I26" i="1" s="1"/>
  <c r="F28" i="1" a="1"/>
  <c r="F28" i="1" s="1"/>
  <c r="F27" i="1" a="1"/>
  <c r="F27" i="1" s="1"/>
  <c r="G28" i="1" a="1"/>
  <c r="G28" i="1" s="1"/>
  <c r="G27" i="1" a="1"/>
  <c r="G27" i="1" s="1"/>
  <c r="H28" i="1" a="1"/>
  <c r="H28" i="1" s="1"/>
  <c r="H27" i="1" a="1"/>
  <c r="H27" i="1" s="1"/>
  <c r="I17" i="1" a="1"/>
  <c r="I17" i="1" s="1"/>
  <c r="G20" i="1" a="1"/>
  <c r="G20" i="1" s="1"/>
  <c r="I16" i="1" a="1"/>
  <c r="I16" i="1" s="1"/>
  <c r="I15" i="1" a="1"/>
  <c r="I15" i="1" s="1"/>
  <c r="F18" i="1" a="1"/>
  <c r="F18" i="1" s="1"/>
  <c r="F11" i="1" a="1"/>
  <c r="F11" i="1" s="1"/>
  <c r="H14" i="1" a="1"/>
  <c r="H14" i="1" s="1"/>
  <c r="G2" i="1" a="1"/>
  <c r="G2" i="1" s="1"/>
  <c r="G19" i="1" a="1"/>
  <c r="G19" i="1" s="1"/>
  <c r="F12" i="1" a="1"/>
  <c r="F12" i="1" s="1"/>
  <c r="I9" i="1" a="1"/>
  <c r="I9" i="1" s="1"/>
  <c r="G7" i="1" a="1"/>
  <c r="G7" i="1" s="1"/>
  <c r="H3" i="1" a="1"/>
  <c r="H3" i="1" s="1"/>
  <c r="F13" i="1" a="1"/>
  <c r="F13" i="1" s="1"/>
  <c r="I25" i="1" a="1"/>
  <c r="I25" i="1" s="1"/>
  <c r="G22" i="1" a="1"/>
  <c r="G22" i="1" s="1"/>
  <c r="I4" i="1" a="1"/>
  <c r="I4" i="1" s="1"/>
  <c r="G10" i="1" a="1"/>
  <c r="G10" i="1" s="1"/>
  <c r="G21" i="1" a="1"/>
  <c r="G21" i="1" s="1"/>
  <c r="H8" i="1" a="1"/>
  <c r="H8" i="1" s="1"/>
  <c r="H6" i="1" a="1"/>
  <c r="H6" i="1" s="1"/>
  <c r="H5" i="1" a="1"/>
  <c r="H5" i="1" s="1"/>
  <c r="G2" i="4" a="1"/>
  <c r="G2" i="4" s="1"/>
  <c r="F25" i="1" a="1"/>
  <c r="F25" i="1" s="1"/>
  <c r="G25" i="1" a="1"/>
  <c r="G25" i="1" s="1"/>
  <c r="H25" i="1" a="1"/>
  <c r="H25" i="1" s="1"/>
  <c r="I24" i="1" a="1"/>
  <c r="I24" i="1" s="1"/>
  <c r="F26" i="1" a="1"/>
  <c r="F26" i="1" s="1"/>
  <c r="G26" i="1" a="1"/>
  <c r="G26" i="1" s="1"/>
  <c r="H26" i="1" a="1"/>
  <c r="H26" i="1" s="1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  <c r="D4" i="4" a="1"/>
  <c r="C3" i="4" a="1"/>
  <c r="F3" i="4" a="1"/>
  <c r="F5" i="4" a="1"/>
  <c r="C5" i="4" a="1"/>
  <c r="C4" i="4" a="1"/>
  <c r="C2" i="4" a="1"/>
  <c r="E5" i="4" a="1"/>
  <c r="E4" i="4" a="1"/>
  <c r="F4" i="4" a="1"/>
  <c r="D2" i="4" a="1"/>
  <c r="E3" i="4" a="1"/>
  <c r="F2" i="4" a="1"/>
  <c r="D5" i="4" a="1"/>
  <c r="E2" i="4" a="1"/>
  <c r="D3" i="4" a="1"/>
  <c r="E2" i="4" l="1"/>
  <c r="D2" i="4"/>
  <c r="C2" i="4"/>
  <c r="C5" i="4"/>
  <c r="C4" i="4"/>
  <c r="F3" i="4"/>
  <c r="C3" i="4"/>
  <c r="F2" i="4"/>
  <c r="F4" i="4"/>
  <c r="E4" i="4"/>
  <c r="D4" i="4"/>
  <c r="F5" i="4"/>
  <c r="E5" i="4"/>
  <c r="D5" i="4"/>
  <c r="E3" i="4"/>
  <c r="D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<sst xmlns="http://schemas.openxmlformats.org/spreadsheetml/2006/main" count="873" uniqueCount="103">
  <si>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</si>
  <si>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</si>
  <si>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</si>
  <si>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</si>
  <si>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</si>
  <si>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</si>
  <si>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</si>
  <si>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</si>
  <si>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</si>
  <si>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</si>
  <si>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</si>
  <si>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</si>
  <si>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</si>
  <si>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</si>
  <si>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</si>
  <si>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</si>
  <si>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</si>
  <si>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</si>
  <si>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</si>
  <si>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</si>
  <si>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</si>
  <si>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</si>
  <si>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</si>
  <si>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</si>
  <si>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</si>
  <si>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</si>
  <si>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</si>
  <si>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</si>
  <si>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</si>
  <si>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</si>
  <si>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</si>
  <si>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</si>
  <si>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</si>
  <si>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</si>
  <si>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</si>
  <si>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</si>
  <si>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</si>
  <si>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</si>
  <si>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</si>
  <si>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</si>
  <si>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</si>
  <si>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</si>
  <si>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</si>
  <si>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</si>
  <si>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</si>
  <si>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</si>
  <si>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</si>
  <si>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</si>
  <si>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</si>
  <si>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</si>
  <si>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</si>
  <si>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</si>
  <si>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</si>
  <si>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</si>
  <si>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</si>
  <si>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</si>
  <si>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</si>
  <si>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</si>
  <si>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</si>
  <si>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</si>
  <si>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</si>
  <si>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</si>
  <si>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</si>
  <si>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</si>
  <si>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</si>
  <si>
    <t>R20260406-1</t>
  </si>
  <si>
    <t>R20260406-2</t>
  </si>
  <si>
    <t>250 CAPS</t>
  </si>
  <si>
    <t>SetID</t>
  </si>
  <si>
    <t>Win</t>
  </si>
  <si>
    <t>seq</t>
  </si>
  <si>
    <t>player</t>
  </si>
  <si>
    <t>bet_tier</t>
  </si>
  <si>
    <t>outcome</t>
  </si>
  <si>
    <t>caps</t>
  </si>
  <si>
    <t>stone_bonus</t>
  </si>
  <si>
    <t>stones_delta</t>
  </si>
  <si>
    <t>R20260318-1-1</t>
  </si>
  <si>
    <t>2/3</t>
  </si>
  <si>
    <t>1/2</t>
  </si>
  <si>
    <t>penalty</t>
  </si>
  <si>
    <t>W</t>
  </si>
  <si>
    <t>L</t>
  </si>
  <si>
    <t>R20260318-1-2</t>
  </si>
  <si>
    <t>R20260318-1-3</t>
  </si>
  <si>
    <t>notes</t>
  </si>
  <si>
    <t>3/4</t>
  </si>
  <si>
    <t>Late</t>
  </si>
  <si>
    <t>V2 late caps on Lewei</t>
  </si>
  <si>
    <t>R20260318-2-1</t>
  </si>
  <si>
    <t>R20260318-2-2</t>
  </si>
  <si>
    <t>R20260318-2-3</t>
  </si>
  <si>
    <t>R20260318-3-1</t>
  </si>
  <si>
    <t>R20260318-3-2</t>
  </si>
  <si>
    <t>R20260303-3-1</t>
  </si>
  <si>
    <t>Wrong</t>
  </si>
  <si>
    <t>R20260303-3-2</t>
  </si>
  <si>
    <t>R20260303-3-3</t>
  </si>
  <si>
    <t>R20260427-1</t>
  </si>
  <si>
    <t>R20260427-2</t>
  </si>
  <si>
    <t>R20260529-1</t>
  </si>
  <si>
    <t>SEASON 2 START</t>
  </si>
  <si>
    <t>R20260725-1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</si>
</sst>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zoomScale="190" zoomScaleNormal="190" workbookViewId="0">
      <pane ySplit="1" topLeftCell="A11" activePane="bottomLeft" state="frozen"/>
      <selection pane="bottomLeft" activeCell="L33" sqref="L33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32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>"R"&amp;TEXT(B22,"yyyymmdd")&amp;"-"&amp;COUNTIFS($B:$B,B22,$C:$C,"&lt;="&amp;C22)</f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  <row r="27" spans="1:10" x14ac:dyDescent="0.35">
      <c r="A27" t="str">
        <f>"R"&amp;TEXT(B27,"yyyymmdd")&amp;"-"&amp;COUNTIFS($B:$B,B27,$C:$C,"&lt;="&amp;C27)</f>
        <v>R20260406-1</v>
      </c>
      <c r="B27" s="1">
        <v>46118</v>
      </c>
      <c r="C27" s="2">
        <v>0</v>
      </c>
      <c r="E27" s="3">
        <f t="shared" si="1"/>
        <v>0</v>
      </c>
      <c r="F27" t="str" cm="1">
        <f t="array" ref="F27">COUNTIFS(
 Matches!$A$2:$A$200,$A27,
 Matches!$I$2:$I$200,"*"&amp;F$1&amp;"*"
)
&amp;" ("&amp;
SUMPRODUCT(
 (Matches!$A$2:$A$200=$A27) *
 ((Matches!$C$2:$C$200=F$1)+(Matches!$D$2:$D$200=F$1)) *
 Matches!$G$2:$G$200
)
+
SUMPRODUCT(
 (Matches!$A$2:$A$200=$A27) *
 ((Matches!$E$2:$E$200=F$1)+(Matches!$F$2:$F$200=F$1)) *
 Matches!$H$2:$H$200
)
&amp;")"</f>
        <v>2 (21)</v>
      </c>
      <c r="G27" t="str" cm="1">
        <f t="array" ref="G27">COUNTIFS(
 Matches!$A$2:$A$200,$A27,
 Matches!$I$2:$I$200,"*"&amp;G$1&amp;"*"
)
&amp;" ("&amp;
SUMPRODUCT(
 (Matches!$A$2:$A$200=$A27) *
 ((Matches!$C$2:$C$200=G$1)+(Matches!$D$2:$D$200=G$1)) *
 Matches!$G$2:$G$200
)
+
SUMPRODUCT(
 (Matches!$A$2:$A$200=$A27) *
 ((Matches!$E$2:$E$200=G$1)+(Matches!$F$2:$F$200=G$1)) *
 Matches!$H$2:$H$200
)
&amp;")"</f>
        <v>0 (15)</v>
      </c>
      <c r="H27" t="str" cm="1">
        <f t="array" ref="H27">COUNTIFS(
 Matches!$A$2:$A$200,$A27,
 Matches!$I$2:$I$200,"*"&amp;H$1&amp;"*"
)
&amp;" ("&amp;
SUMPRODUCT(
 (Matches!$A$2:$A$200=$A27) *
 ((Matches!$C$2:$C$200=H$1)+(Matches!$D$2:$D$200=H$1)) *
 Matches!$G$2:$G$200
)
+
SUMPRODUCT(
 (Matches!$A$2:$A$200=$A27) *
 ((Matches!$E$2:$E$200=H$1)+(Matches!$F$2:$F$200=H$1)) *
 Matches!$H$2:$H$200
)
&amp;")"</f>
        <v>2 (29)</v>
      </c>
      <c r="I27" t="str" cm="1">
        <f t="array" ref="I27">COUNTIFS(
 Matches!$A$2:$A$200,$A27,
 Matches!$I$2:$I$200,"*"&amp;I$1&amp;"*"
)
&amp;" ("&amp;
SUMPRODUCT(
 (Matches!$A$2:$A$200=$A27) *
 ((Matches!$C$2:$C$200=I$1)+(Matches!$D$2:$D$200=I$1)) *
 Matches!$G$2:$G$200
)
+
SUMPRODUCT(
 (Matches!$A$2:$A$200=$A27) *
 ((Matches!$E$2:$E$200=I$1)+(Matches!$F$2:$F$200=I$1)) *
 Matches!$H$2:$H$200
)
&amp;")"</f>
        <v>2 (25)</v>
      </c>
    </row>
    <row r="28" spans="1:10" x14ac:dyDescent="0.35">
      <c r="A28" t="str">
        <f>"R"&amp;TEXT(B28,"yyyymmdd")&amp;"-"&amp;COUNTIFS($B:$B,B28,$C:$C,"&lt;="&amp;C28)</f>
        <v>R20260406-2</v>
      </c>
      <c r="B28" s="1">
        <v>46118</v>
      </c>
      <c r="C28" s="2">
        <v>4.1666666666666664E-2</v>
      </c>
      <c r="E28" s="3">
        <f t="shared" si="1"/>
        <v>0.95833333333333337</v>
      </c>
      <c r="F28" t="str" cm="1">
        <f t="array" ref="F28">COUNTIFS(
 Matches!$A$2:$A$200,$A28,
 Matches!$I$2:$I$200,"*"&amp;F$1&amp;"*"
)
&amp;" ("&amp;
SUMPRODUCT(
 (Matches!$A$2:$A$200=$A28) *
 ((Matches!$C$2:$C$200=F$1)+(Matches!$D$2:$D$200=F$1)) *
 Matches!$G$2:$G$200
)
+
SUMPRODUCT(
 (Matches!$A$2:$A$200=$A28) *
 ((Matches!$E$2:$E$200=F$1)+(Matches!$F$2:$F$200=F$1)) *
 Matches!$H$2:$H$200
)
&amp;")"</f>
        <v>2 (24)</v>
      </c>
      <c r="G28" t="str" cm="1">
        <f t="array" ref="G28">COUNTIFS(
 Matches!$A$2:$A$200,$A28,
 Matches!$I$2:$I$200,"*"&amp;G$1&amp;"*"
)
&amp;" ("&amp;
SUMPRODUCT(
 (Matches!$A$2:$A$200=$A28) *
 ((Matches!$C$2:$C$200=G$1)+(Matches!$D$2:$D$200=G$1)) *
 Matches!$G$2:$G$200
)
+
SUMPRODUCT(
 (Matches!$A$2:$A$200=$A28) *
 ((Matches!$E$2:$E$200=G$1)+(Matches!$F$2:$F$200=G$1)) *
 Matches!$H$2:$H$200
)
&amp;")"</f>
        <v>2 (21)</v>
      </c>
      <c r="H28" t="str" cm="1">
        <f t="array" ref="H28">COUNTIFS(
 Matches!$A$2:$A$200,$A28,
 Matches!$I$2:$I$200,"*"&amp;H$1&amp;"*"
)
&amp;" ("&amp;
SUMPRODUCT(
 (Matches!$A$2:$A$200=$A28) *
 ((Matches!$C$2:$C$200=H$1)+(Matches!$D$2:$D$200=H$1)) *
 Matches!$G$2:$G$200
)
+
SUMPRODUCT(
 (Matches!$A$2:$A$200=$A28) *
 ((Matches!$E$2:$E$200=H$1)+(Matches!$F$2:$F$200=H$1)) *
 Matches!$H$2:$H$200
)
&amp;")"</f>
        <v>0 (14)</v>
      </c>
      <c r="I28" t="str" cm="1">
        <f t="array" ref="I28">COUNTIFS(
 Matches!$A$2:$A$200,$A28,
 Matches!$I$2:$I$200,"*"&amp;I$1&amp;"*"
)
&amp;" ("&amp;
SUMPRODUCT(
 (Matches!$A$2:$A$200=$A28) *
 ((Matches!$C$2:$C$200=I$1)+(Matches!$D$2:$D$200=I$1)) *
 Matches!$G$2:$G$200
)
+
SUMPRODUCT(
 (Matches!$A$2:$A$200=$A28) *
 ((Matches!$E$2:$E$200=I$1)+(Matches!$F$2:$F$200=I$1)) *
 Matches!$H$2:$H$200
)
&amp;")"</f>
        <v>2 (29)</v>
      </c>
    </row>
    <row r="29" spans="1:10" x14ac:dyDescent="0.35">
      <c r="A29" t="str">
        <f t="shared" ref="A29:A32" si="3">"R"&amp;TEXT(B29,"yyyymmdd")&amp;"-"&amp;COUNTIFS($B:$B,B29,$C:$C,"&lt;="&amp;C29)</f>
        <v>R20260427-1</v>
      </c>
      <c r="B29" s="1">
        <v>46139</v>
      </c>
      <c r="C29" s="2">
        <v>0</v>
      </c>
      <c r="E29" s="3">
        <f t="shared" si="1"/>
        <v>0</v>
      </c>
      <c r="F29" t="str" cm="1">
        <f t="array" ref="F29">COUNTIFS(
 Matches!$A$2:$A$200,$A29,
 Matches!$I$2:$I$200,"*"&amp;F$1&amp;"*"
)
&amp;" ("&amp;
SUMPRODUCT(
 (Matches!$A$2:$A$200=$A29) *
 ((Matches!$C$2:$C$200=F$1)+(Matches!$D$2:$D$200=F$1)) *
 Matches!$G$2:$G$200
)
+
SUMPRODUCT(
 (Matches!$A$2:$A$200=$A29) *
 ((Matches!$E$2:$E$200=F$1)+(Matches!$F$2:$F$200=F$1)) *
 Matches!$H$2:$H$200
)
&amp;")"</f>
        <v>2 (24)</v>
      </c>
      <c r="G29" t="str" cm="1">
        <f t="array" ref="G29">COUNTIFS(
 Matches!$A$2:$A$200,$A29,
 Matches!$I$2:$I$200,"*"&amp;G$1&amp;"*"
)
&amp;" ("&amp;
SUMPRODUCT(
 (Matches!$A$2:$A$200=$A29) *
 ((Matches!$C$2:$C$200=G$1)+(Matches!$D$2:$D$200=G$1)) *
 Matches!$G$2:$G$200
)
+
SUMPRODUCT(
 (Matches!$A$2:$A$200=$A29) *
 ((Matches!$E$2:$E$200=G$1)+(Matches!$F$2:$F$200=G$1)) *
 Matches!$H$2:$H$200
)
&amp;")"</f>
        <v>2 (29)</v>
      </c>
      <c r="H29" t="str" cm="1">
        <f t="array" ref="H29">COUNTIFS(
 Matches!$A$2:$A$200,$A29,
 Matches!$I$2:$I$200,"*"&amp;H$1&amp;"*"
)
&amp;" ("&amp;
SUMPRODUCT(
 (Matches!$A$2:$A$200=$A29) *
 ((Matches!$C$2:$C$200=H$1)+(Matches!$D$2:$D$200=H$1)) *
 Matches!$G$2:$G$200
)
+
SUMPRODUCT(
 (Matches!$A$2:$A$200=$A29) *
 ((Matches!$E$2:$E$200=H$1)+(Matches!$F$2:$F$200=H$1)) *
 Matches!$H$2:$H$200
)
&amp;")"</f>
        <v>2 (25)</v>
      </c>
      <c r="I29" t="str" cm="1">
        <f t="array" ref="I29">COUNTIFS(
 Matches!$A$2:$A$200,$A29,
 Matches!$I$2:$I$200,"*"&amp;I$1&amp;"*"
)
&amp;" ("&amp;
SUMPRODUCT(
 (Matches!$A$2:$A$200=$A29) *
 ((Matches!$C$2:$C$200=I$1)+(Matches!$D$2:$D$200=I$1)) *
 Matches!$G$2:$G$200
)
+
SUMPRODUCT(
 (Matches!$A$2:$A$200=$A29) *
 ((Matches!$E$2:$E$200=I$1)+(Matches!$F$2:$F$200=I$1)) *
 Matches!$H$2:$H$200
)
&amp;")"</f>
        <v>0 (18)</v>
      </c>
    </row>
    <row r="30" spans="1:10" x14ac:dyDescent="0.35">
      <c r="A30" t="str">
        <f t="shared" si="3"/>
        <v>R20260427-2</v>
      </c>
      <c r="B30" s="1">
        <v>46139</v>
      </c>
      <c r="C30" s="2">
        <v>4.1666666666666664E-2</v>
      </c>
      <c r="E30" s="3">
        <f t="shared" si="1"/>
        <v>0.95833333333333337</v>
      </c>
      <c r="F30" t="str" cm="1">
        <f t="array" ref="F30">COUNTIFS(
 Matches!$A$2:$A$200,$A30,
 Matches!$I$2:$I$200,"*"&amp;F$1&amp;"*"
)
&amp;" ("&amp;
SUMPRODUCT(
 (Matches!$A$2:$A$200=$A30) *
 ((Matches!$C$2:$C$200=F$1)+(Matches!$D$2:$D$200=F$1)) *
 Matches!$G$2:$G$200
)
+
SUMPRODUCT(
 (Matches!$A$2:$A$200=$A30) *
 ((Matches!$E$2:$E$200=F$1)+(Matches!$F$2:$F$200=F$1)) *
 Matches!$H$2:$H$200
)
&amp;")"</f>
        <v>1 (18)</v>
      </c>
      <c r="G30" t="str" cm="1">
        <f t="array" ref="G30">COUNTIFS(
 Matches!$A$2:$A$200,$A30,
 Matches!$I$2:$I$200,"*"&amp;G$1&amp;"*"
)
&amp;" ("&amp;
SUMPRODUCT(
 (Matches!$A$2:$A$200=$A30) *
 ((Matches!$C$2:$C$200=G$1)+(Matches!$D$2:$D$200=G$1)) *
 Matches!$G$2:$G$200
)
+
SUMPRODUCT(
 (Matches!$A$2:$A$200=$A30) *
 ((Matches!$E$2:$E$200=G$1)+(Matches!$F$2:$F$200=G$1)) *
 Matches!$H$2:$H$200
)
&amp;")"</f>
        <v>3 (30)</v>
      </c>
      <c r="H30" t="str" cm="1">
        <f t="array" ref="H30">COUNTIFS(
 Matches!$A$2:$A$200,$A30,
 Matches!$I$2:$I$200,"*"&amp;H$1&amp;"*"
)
&amp;" ("&amp;
SUMPRODUCT(
 (Matches!$A$2:$A$200=$A30) *
 ((Matches!$C$2:$C$200=H$1)+(Matches!$D$2:$D$200=H$1)) *
 Matches!$G$2:$G$200
)
+
SUMPRODUCT(
 (Matches!$A$2:$A$200=$A30) *
 ((Matches!$E$2:$E$200=H$1)+(Matches!$F$2:$F$200=H$1)) *
 Matches!$H$2:$H$200
)
&amp;")"</f>
        <v>1 (19)</v>
      </c>
      <c r="I30" t="str" cm="1">
        <f t="array" ref="I30">COUNTIFS(
 Matches!$A$2:$A$200,$A30,
 Matches!$I$2:$I$200,"*"&amp;I$1&amp;"*"
)
&amp;" ("&amp;
SUMPRODUCT(
 (Matches!$A$2:$A$200=$A30) *
 ((Matches!$C$2:$C$200=I$1)+(Matches!$D$2:$D$200=I$1)) *
 Matches!$G$2:$G$200
)
+
SUMPRODUCT(
 (Matches!$A$2:$A$200=$A30) *
 ((Matches!$E$2:$E$200=I$1)+(Matches!$F$2:$F$200=I$1)) *
 Matches!$H$2:$H$200
)
&amp;")"</f>
        <v>1 (13)</v>
      </c>
    </row>
    <row r="31" spans="1:10" x14ac:dyDescent="0.35">
      <c r="A31" t="str">
        <f t="shared" si="3"/>
        <v>R20260529-1</v>
      </c>
      <c r="B31" s="1">
        <v>46171</v>
      </c>
      <c r="C31" s="2">
        <v>0.5</v>
      </c>
      <c r="E31" s="3">
        <f t="shared" si="1"/>
        <v>0.5</v>
      </c>
      <c r="F31" t="str" cm="1">
        <f t="array" ref="F31">COUNTIFS(
 Matches!$A$2:$A$200,$A31,
 Matches!$I$2:$I$200,"*"&amp;F$1&amp;"*"
)
&amp;" ("&amp;
SUMPRODUCT(
 (Matches!$A$2:$A$200=$A31) *
 ((Matches!$C$2:$C$200=F$1)+(Matches!$D$2:$D$200=F$1)) *
 Matches!$G$2:$G$200
)
+
SUMPRODUCT(
 (Matches!$A$2:$A$200=$A31) *
 ((Matches!$E$2:$E$200=F$1)+(Matches!$F$2:$F$200=F$1)) *
 Matches!$H$2:$H$200
)
&amp;")"</f>
        <v>2 (26)</v>
      </c>
      <c r="G31" t="str" cm="1">
        <f t="array" ref="G31">COUNTIFS(
 Matches!$A$2:$A$200,$A31,
 Matches!$I$2:$I$200,"*"&amp;G$1&amp;"*"
)
&amp;" ("&amp;
SUMPRODUCT(
 (Matches!$A$2:$A$200=$A31) *
 ((Matches!$C$2:$C$200=G$1)+(Matches!$D$2:$D$200=G$1)) *
 Matches!$G$2:$G$200
)
+
SUMPRODUCT(
 (Matches!$A$2:$A$200=$A31) *
 ((Matches!$E$2:$E$200=G$1)+(Matches!$F$2:$F$200=G$1)) *
 Matches!$H$2:$H$200
)
&amp;")"</f>
        <v>2 (27)</v>
      </c>
      <c r="H31" t="str" cm="1">
        <f t="array" ref="H31">COUNTIFS(
 Matches!$A$2:$A$200,$A31,
 Matches!$I$2:$I$200,"*"&amp;H$1&amp;"*"
)
&amp;" ("&amp;
SUMPRODUCT(
 (Matches!$A$2:$A$200=$A31) *
 ((Matches!$C$2:$C$200=H$1)+(Matches!$D$2:$D$200=H$1)) *
 Matches!$G$2:$G$200
)
+
SUMPRODUCT(
 (Matches!$A$2:$A$200=$A31) *
 ((Matches!$E$2:$E$200=H$1)+(Matches!$F$2:$F$200=H$1)) *
 Matches!$H$2:$H$200
)
&amp;")"</f>
        <v>2 (27)</v>
      </c>
      <c r="I31" t="str" cm="1">
        <f t="array" ref="I31">COUNTIFS(
 Matches!$A$2:$A$200,$A31,
 Matches!$I$2:$I$200,"*"&amp;I$1&amp;"*"
)
&amp;" ("&amp;
SUMPRODUCT(
 (Matches!$A$2:$A$200=$A31) *
 ((Matches!$C$2:$C$200=I$1)+(Matches!$D$2:$D$200=I$1)) *
 Matches!$G$2:$G$200
)
+
SUMPRODUCT(
 (Matches!$A$2:$A$200=$A31) *
 ((Matches!$E$2:$E$200=I$1)+(Matches!$F$2:$F$200=I$1)) *
 Matches!$H$2:$H$200
)
&amp;")"</f>
        <v>0 (20)</v>
      </c>
    </row>
    <row r="32" spans="1:10" x14ac:dyDescent="0.35">
      <c r="A32" t="str">
        <f t="shared" si="3"/>
        <v>R20260725-1</v>
      </c>
      <c r="B32" s="1">
        <v>46228</v>
      </c>
      <c r="C32" s="2">
        <v>12</v>
      </c>
      <c r="E32" s="3">
        <f t="shared" si="1"/>
        <v>0</v>
      </c>
      <c r="F32" t="str" cm="1">
        <f t="array" ref="F32">COUNTIFS(
 Matches!$A$2:$A$200,$A32,
 Matches!$I$2:$I$200,"*"&amp;F$1&amp;"*"
)
&amp;" ("&amp;
SUMPRODUCT(
 (Matches!$A$2:$A$200=$A32) *
 ((Matches!$C$2:$C$200=F$1)+(Matches!$D$2:$D$200=F$1)) *
 Matches!$G$2:$G$200
)
+
SUMPRODUCT(
 (Matches!$A$2:$A$200=$A32) *
 ((Matches!$E$2:$E$200=F$1)+(Matches!$F$2:$F$200=F$1)) *
 Matches!$H$2:$H$200
)
&amp;")"</f>
        <v>2 (27)</v>
      </c>
      <c r="G32" t="str" cm="1">
        <f t="array" ref="G32">COUNTIFS(
 Matches!$A$2:$A$200,$A32,
 Matches!$I$2:$I$200,"*"&amp;G$1&amp;"*"
)
&amp;" ("&amp;
SUMPRODUCT(
 (Matches!$A$2:$A$200=$A32) *
 ((Matches!$C$2:$C$200=G$1)+(Matches!$D$2:$D$200=G$1)) *
 Matches!$G$2:$G$200
)
+
SUMPRODUCT(
 (Matches!$A$2:$A$200=$A32) *
 ((Matches!$E$2:$E$200=G$1)+(Matches!$F$2:$F$200=G$1)) *
 Matches!$H$2:$H$200
)
&amp;")"</f>
        <v>2 (26)</v>
      </c>
      <c r="H32" t="str" cm="1">
        <f t="array" ref="H32">COUNTIFS(
 Matches!$A$2:$A$200,$A32,
 Matches!$I$2:$I$200,"*"&amp;H$1&amp;"*"
)
&amp;" ("&amp;
SUMPRODUCT(
 (Matches!$A$2:$A$200=$A32) *
 ((Matches!$C$2:$C$200=H$1)+(Matches!$D$2:$D$200=H$1)) *
 Matches!$G$2:$G$200
)
+
SUMPRODUCT(
 (Matches!$A$2:$A$200=$A32) *
 ((Matches!$E$2:$E$200=H$1)+(Matches!$F$2:$F$200=H$1)) *
 Matches!$H$2:$H$200
)
&amp;")"</f>
        <v>2 (26)</v>
      </c>
      <c r="I32" t="str" cm="1">
        <f t="array" ref="I32">COUNTIFS(
 Matches!$A$2:$A$200,$A32,
 Matches!$I$2:$I$200,"*"&amp;I$1&amp;"*"
)
&amp;" ("&amp;
SUMPRODUCT(
 (Matches!$A$2:$A$200=$A32) *
 ((Matches!$C$2:$C$200=I$1)+(Matches!$D$2:$D$200=I$1)) *
 Matches!$G$2:$G$200
)
+
SUMPRODUCT(
 (Matches!$A$2:$A$200=$A32) *
 ((Matches!$E$2:$E$200=I$1)+(Matches!$F$2:$F$200=I$1)) *
 Matches!$H$2:$H$200
)
&amp;")"</f>
        <v>0 (19)</v>
      </c>
      <c r="J32" t="s">
        <v>101</v>
      </c>
    </row>
  </sheetData>
  <conditionalFormatting sqref="F2:I32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K93"/>
  <sheetViews>
    <sheetView zoomScale="130" zoomScaleNormal="130" workbookViewId="0">
      <pane ySplit="1" topLeftCell="A56" activePane="bottomLeft" state="frozen"/>
      <selection pane="bottomLeft" activeCell="I93" sqref="I93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  <col min="10" max="10" width="29.7265625" customWidth="1"/>
    <col min="11" max="11" width="14.08984375" customWidth="1"/>
  </cols>
  <sheetData>
    <row r="1" spans="1:11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  <c r="K1" t="s">
        <v>68</v>
      </c>
    </row>
    <row r="2" spans="1:11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  <c r="K2" t="str">
        <f>_xlfn.CONCAT(A2, "-", B2)</f>
        <v>R20251201-1-1</v>
      </c>
    </row>
    <row r="3" spans="1:11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93" si="0">IF(G3&gt;H3,
   IF(C3&lt;D3, C3&amp;"/"&amp;D3, D3&amp;"/"&amp;C3),
   IF(E3&lt;F3, E3&amp;"/"&amp;F3, F3&amp;"/"&amp;E3)
)</f>
        <v>LX/MN</v>
      </c>
      <c r="K3" t="str">
        <f t="shared" ref="K3:K66" si="1">_xlfn.CONCAT(A3, "-", B3)</f>
        <v>R20251201-1-2</v>
      </c>
    </row>
    <row r="4" spans="1:11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  <c r="K4" t="str">
        <f t="shared" si="1"/>
        <v>R20251201-1-3</v>
      </c>
    </row>
    <row r="5" spans="1:11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  <c r="K5" t="str">
        <f t="shared" si="1"/>
        <v>R20251215-1-1</v>
      </c>
    </row>
    <row r="6" spans="1:11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  <c r="K6" t="str">
        <f t="shared" si="1"/>
        <v>R20251215-1-2</v>
      </c>
    </row>
    <row r="7" spans="1:11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  <c r="K7" t="str">
        <f t="shared" si="1"/>
        <v>R20251215-1-3</v>
      </c>
    </row>
    <row r="8" spans="1:11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  <c r="K8" t="str">
        <f t="shared" si="1"/>
        <v>R20251229-1-1</v>
      </c>
    </row>
    <row r="9" spans="1:11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  <c r="K9" t="str">
        <f t="shared" si="1"/>
        <v>R20251229-1-2</v>
      </c>
    </row>
    <row r="10" spans="1:11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  <c r="K10" t="str">
        <f t="shared" si="1"/>
        <v>R20251229-1-3</v>
      </c>
    </row>
    <row r="11" spans="1:11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  <c r="K11" t="str">
        <f t="shared" si="1"/>
        <v>R20251229-2-1</v>
      </c>
    </row>
    <row r="12" spans="1:11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  <c r="K12" t="str">
        <f t="shared" si="1"/>
        <v>R20251229-2-2</v>
      </c>
    </row>
    <row r="13" spans="1:11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  <c r="K13" t="str">
        <f t="shared" si="1"/>
        <v>R20251229-2-3</v>
      </c>
    </row>
    <row r="14" spans="1:11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  <c r="K14" t="str">
        <f t="shared" si="1"/>
        <v>R20260105-1-1</v>
      </c>
    </row>
    <row r="15" spans="1:11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  <c r="K15" t="str">
        <f t="shared" si="1"/>
        <v>R20260105-1-2</v>
      </c>
    </row>
    <row r="16" spans="1:11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  <c r="K16" t="str">
        <f t="shared" si="1"/>
        <v>R20260105-1-3</v>
      </c>
    </row>
    <row r="17" spans="1:11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  <c r="K17" t="str">
        <f t="shared" si="1"/>
        <v>R20260105-2-1</v>
      </c>
    </row>
    <row r="18" spans="1:11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  <c r="K18" t="str">
        <f t="shared" si="1"/>
        <v>R20260105-2-2</v>
      </c>
    </row>
    <row r="19" spans="1:11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  <c r="K19" t="str">
        <f t="shared" si="1"/>
        <v>R20260105-2-3</v>
      </c>
    </row>
    <row r="20" spans="1:11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  <c r="K20" t="str">
        <f t="shared" si="1"/>
        <v>R20260112-1-1</v>
      </c>
    </row>
    <row r="21" spans="1:11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  <c r="K21" t="str">
        <f t="shared" si="1"/>
        <v>R20260112-1-2</v>
      </c>
    </row>
    <row r="22" spans="1:11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  <c r="K22" t="str">
        <f t="shared" si="1"/>
        <v>R20260112-1-3</v>
      </c>
    </row>
    <row r="23" spans="1:11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  <c r="K23" t="str">
        <f t="shared" si="1"/>
        <v>R20260112-2-1</v>
      </c>
    </row>
    <row r="24" spans="1:11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  <c r="K24" t="str">
        <f t="shared" si="1"/>
        <v>R20260112-2-2</v>
      </c>
    </row>
    <row r="25" spans="1:11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  <c r="K25" t="str">
        <f t="shared" si="1"/>
        <v>R20260112-2-3</v>
      </c>
    </row>
    <row r="26" spans="1:11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  <c r="K26" t="str">
        <f t="shared" si="1"/>
        <v>R20260119-1-1</v>
      </c>
    </row>
    <row r="27" spans="1:11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  <c r="K27" t="str">
        <f t="shared" si="1"/>
        <v>R20260119-1-2</v>
      </c>
    </row>
    <row r="28" spans="1:11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  <c r="K28" t="str">
        <f t="shared" si="1"/>
        <v>R20260119-1-3</v>
      </c>
    </row>
    <row r="29" spans="1:11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  <c r="K29" t="str">
        <f t="shared" si="1"/>
        <v>R20260119-2-1</v>
      </c>
    </row>
    <row r="30" spans="1:11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  <c r="K30" t="str">
        <f t="shared" si="1"/>
        <v>R20260119-2-2</v>
      </c>
    </row>
    <row r="31" spans="1:11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  <c r="K31" t="str">
        <f t="shared" si="1"/>
        <v>R20260119-2-3</v>
      </c>
    </row>
    <row r="32" spans="1:11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  <c r="K32" t="str">
        <f t="shared" si="1"/>
        <v>R20260127-1-1</v>
      </c>
    </row>
    <row r="33" spans="1:11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  <c r="K33" t="str">
        <f t="shared" si="1"/>
        <v>R20260127-1-2</v>
      </c>
    </row>
    <row r="34" spans="1:11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  <c r="K34" t="str">
        <f t="shared" si="1"/>
        <v>R20260127-1-3</v>
      </c>
    </row>
    <row r="35" spans="1:11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  <c r="K35" t="str">
        <f t="shared" si="1"/>
        <v>R20260127-2-1</v>
      </c>
    </row>
    <row r="36" spans="1:11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  <c r="K36" t="str">
        <f t="shared" si="1"/>
        <v>R20260127-2-2</v>
      </c>
    </row>
    <row r="37" spans="1:11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  <c r="K37" t="str">
        <f t="shared" si="1"/>
        <v>R20260127-2-3</v>
      </c>
    </row>
    <row r="38" spans="1:11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  <c r="K38" t="str">
        <f t="shared" si="1"/>
        <v>R20260127-3-1</v>
      </c>
    </row>
    <row r="39" spans="1:11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  <c r="K39" t="str">
        <f t="shared" si="1"/>
        <v>R20260127-3-2</v>
      </c>
    </row>
    <row r="40" spans="1:11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  <c r="K40" t="str">
        <f t="shared" si="1"/>
        <v>R20260127-3-3</v>
      </c>
    </row>
    <row r="41" spans="1:11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  <c r="K41" t="str">
        <f t="shared" si="1"/>
        <v>R20260203-1-1</v>
      </c>
    </row>
    <row r="42" spans="1:11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  <c r="K42" t="str">
        <f t="shared" si="1"/>
        <v>R20260203-1-2</v>
      </c>
    </row>
    <row r="43" spans="1:11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  <c r="K43" t="str">
        <f t="shared" si="1"/>
        <v>R20260203-1-3</v>
      </c>
    </row>
    <row r="44" spans="1:11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  <c r="K44" t="str">
        <f t="shared" si="1"/>
        <v>R20260203-2-1</v>
      </c>
    </row>
    <row r="45" spans="1:11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  <c r="K45" t="str">
        <f t="shared" si="1"/>
        <v>R20260203-2-2</v>
      </c>
    </row>
    <row r="46" spans="1:11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  <c r="K46" t="str">
        <f t="shared" si="1"/>
        <v>R20260203-2-3</v>
      </c>
    </row>
    <row r="47" spans="1:11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  <c r="K47" t="str">
        <f t="shared" si="1"/>
        <v>R20260203-3-1</v>
      </c>
    </row>
    <row r="48" spans="1:11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  <c r="K48" t="str">
        <f t="shared" si="1"/>
        <v>R20260203-3-2</v>
      </c>
    </row>
    <row r="49" spans="1:11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  <c r="K49" t="str">
        <f t="shared" si="1"/>
        <v>R20260203-3-3</v>
      </c>
    </row>
    <row r="50" spans="1:11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  <c r="K50" t="str">
        <f t="shared" si="1"/>
        <v>R20260216-1-1</v>
      </c>
    </row>
    <row r="51" spans="1:11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  <c r="K51" t="str">
        <f t="shared" si="1"/>
        <v>R20260216-1-2</v>
      </c>
    </row>
    <row r="52" spans="1:11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  <c r="K52" t="str">
        <f t="shared" si="1"/>
        <v>R20260216-1-3</v>
      </c>
    </row>
    <row r="53" spans="1:11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  <c r="K53" t="str">
        <f t="shared" si="1"/>
        <v>R20260216-2-1</v>
      </c>
    </row>
    <row r="54" spans="1:11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  <c r="K54" t="str">
        <f t="shared" si="1"/>
        <v>R20260216-2-2</v>
      </c>
    </row>
    <row r="55" spans="1:11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  <c r="K55" t="str">
        <f t="shared" si="1"/>
        <v>R20260216-2-3</v>
      </c>
    </row>
    <row r="56" spans="1:11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  <c r="K56" t="str">
        <f t="shared" si="1"/>
        <v>R20260216-3-1</v>
      </c>
    </row>
    <row r="57" spans="1:11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  <c r="K57" t="str">
        <f t="shared" si="1"/>
        <v>R20260216-3-2</v>
      </c>
    </row>
    <row r="58" spans="1:11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  <c r="K58" t="str">
        <f t="shared" si="1"/>
        <v>R20260312-1-1</v>
      </c>
    </row>
    <row r="59" spans="1:11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  <c r="K59" t="str">
        <f t="shared" si="1"/>
        <v>R20260312-1-2</v>
      </c>
    </row>
    <row r="60" spans="1:11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  <c r="K60" t="str">
        <f t="shared" si="1"/>
        <v>R20260312-1-3</v>
      </c>
    </row>
    <row r="61" spans="1:11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  <c r="K61" t="str">
        <f t="shared" si="1"/>
        <v>R20260318-1-1</v>
      </c>
    </row>
    <row r="62" spans="1:11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  <c r="K62" t="str">
        <f t="shared" si="1"/>
        <v>R20260318-1-2</v>
      </c>
    </row>
    <row r="63" spans="1:11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  <c r="K63" t="str">
        <f t="shared" si="1"/>
        <v>R20260318-1-3</v>
      </c>
    </row>
    <row r="64" spans="1:11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  <c r="K64" t="str">
        <f t="shared" si="1"/>
        <v>R20260318-2-1</v>
      </c>
    </row>
    <row r="65" spans="1:11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  <c r="K65" t="str">
        <f t="shared" si="1"/>
        <v>R20260318-2-2</v>
      </c>
    </row>
    <row r="66" spans="1:11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  <c r="K66" t="str">
        <f t="shared" si="1"/>
        <v>R20260318-2-3</v>
      </c>
    </row>
    <row r="67" spans="1:11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  <c r="K67" t="str">
        <f t="shared" ref="K67:K93" si="2">_xlfn.CONCAT(A67, "-", B67)</f>
        <v>R20260318-3-1</v>
      </c>
    </row>
    <row r="68" spans="1:11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  <c r="K68" t="str">
        <f t="shared" si="2"/>
        <v>R20260318-3-2</v>
      </c>
    </row>
    <row r="69" spans="1:11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  <c r="K69" t="str">
        <f t="shared" si="2"/>
        <v>R20260318-3-3</v>
      </c>
    </row>
    <row r="70" spans="1:11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  <c r="K70" t="str">
        <f t="shared" si="2"/>
        <v>R20260403-1-1</v>
      </c>
    </row>
    <row r="71" spans="1:11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  <c r="K71" t="str">
        <f t="shared" si="2"/>
        <v>R20260403-1-2</v>
      </c>
    </row>
    <row r="72" spans="1:11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  <c r="K72" t="str">
        <f t="shared" si="2"/>
        <v>R20260403-1-3</v>
      </c>
    </row>
    <row r="73" spans="1:11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  <c r="K73" t="str">
        <f t="shared" si="2"/>
        <v>R20260403-2-1</v>
      </c>
    </row>
    <row r="74" spans="1:11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  <c r="K74" t="str">
        <f t="shared" si="2"/>
        <v>R20260403-2-2</v>
      </c>
    </row>
    <row r="75" spans="1:11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  <c r="K75" t="str">
        <f t="shared" si="2"/>
        <v>R20260403-2-3</v>
      </c>
    </row>
    <row r="76" spans="1:11" x14ac:dyDescent="0.35">
      <c r="A76" t="s">
        <v>65</v>
      </c>
      <c r="B76">
        <v>1</v>
      </c>
      <c r="C76" t="s">
        <v>15</v>
      </c>
      <c r="D76" t="s">
        <v>14</v>
      </c>
      <c r="E76" t="s">
        <v>12</v>
      </c>
      <c r="F76" t="s">
        <v>13</v>
      </c>
      <c r="G76" s="4">
        <v>9</v>
      </c>
      <c r="H76" s="4">
        <v>10</v>
      </c>
      <c r="I76" t="str">
        <f t="shared" si="0"/>
        <v>LX/VM</v>
      </c>
      <c r="K76" t="str">
        <f t="shared" si="2"/>
        <v>R20260406-1-1</v>
      </c>
    </row>
    <row r="77" spans="1:11" x14ac:dyDescent="0.35">
      <c r="A77" t="s">
        <v>65</v>
      </c>
      <c r="B77">
        <v>2</v>
      </c>
      <c r="C77" t="s">
        <v>15</v>
      </c>
      <c r="D77" t="s">
        <v>13</v>
      </c>
      <c r="E77" t="s">
        <v>14</v>
      </c>
      <c r="F77" t="s">
        <v>12</v>
      </c>
      <c r="G77" s="4">
        <v>5</v>
      </c>
      <c r="H77" s="4">
        <v>10</v>
      </c>
      <c r="I77" t="str">
        <f t="shared" si="0"/>
        <v>LX/MN</v>
      </c>
      <c r="K77" t="str">
        <f t="shared" si="2"/>
        <v>R20260406-1-2</v>
      </c>
    </row>
    <row r="78" spans="1:11" x14ac:dyDescent="0.35">
      <c r="A78" t="s">
        <v>65</v>
      </c>
      <c r="B78">
        <v>3</v>
      </c>
      <c r="C78" t="s">
        <v>15</v>
      </c>
      <c r="D78" t="s">
        <v>12</v>
      </c>
      <c r="E78" t="s">
        <v>14</v>
      </c>
      <c r="F78" t="s">
        <v>13</v>
      </c>
      <c r="G78" s="4">
        <v>1</v>
      </c>
      <c r="H78" s="4">
        <v>10</v>
      </c>
      <c r="I78" t="str">
        <f t="shared" si="0"/>
        <v>MN/VM</v>
      </c>
      <c r="K78" t="str">
        <f t="shared" si="2"/>
        <v>R20260406-1-3</v>
      </c>
    </row>
    <row r="79" spans="1:11" x14ac:dyDescent="0.35">
      <c r="A79" t="s">
        <v>66</v>
      </c>
      <c r="B79">
        <v>1</v>
      </c>
      <c r="C79" t="s">
        <v>14</v>
      </c>
      <c r="D79" t="s">
        <v>12</v>
      </c>
      <c r="E79" t="s">
        <v>13</v>
      </c>
      <c r="F79" t="s">
        <v>15</v>
      </c>
      <c r="G79" s="4">
        <v>4</v>
      </c>
      <c r="H79" s="4">
        <v>10</v>
      </c>
      <c r="I79" t="str">
        <f t="shared" si="0"/>
        <v>ML/VM</v>
      </c>
      <c r="K79" t="str">
        <f t="shared" si="2"/>
        <v>R20260406-2-1</v>
      </c>
    </row>
    <row r="80" spans="1:11" x14ac:dyDescent="0.35">
      <c r="A80" t="s">
        <v>66</v>
      </c>
      <c r="B80">
        <v>2</v>
      </c>
      <c r="C80" t="s">
        <v>15</v>
      </c>
      <c r="D80" t="s">
        <v>14</v>
      </c>
      <c r="E80" t="s">
        <v>13</v>
      </c>
      <c r="F80" t="s">
        <v>12</v>
      </c>
      <c r="G80" s="4">
        <v>1</v>
      </c>
      <c r="H80" s="4">
        <v>10</v>
      </c>
      <c r="I80" t="str">
        <f t="shared" si="0"/>
        <v>LX/VM</v>
      </c>
      <c r="J80" t="s">
        <v>67</v>
      </c>
      <c r="K80" t="str">
        <f t="shared" si="2"/>
        <v>R20260406-2-2</v>
      </c>
    </row>
    <row r="81" spans="1:11" x14ac:dyDescent="0.35">
      <c r="A81" t="s">
        <v>66</v>
      </c>
      <c r="B81">
        <v>3</v>
      </c>
      <c r="C81" t="s">
        <v>13</v>
      </c>
      <c r="D81" t="s">
        <v>14</v>
      </c>
      <c r="E81" t="s">
        <v>15</v>
      </c>
      <c r="F81" t="s">
        <v>12</v>
      </c>
      <c r="G81" s="4">
        <v>9</v>
      </c>
      <c r="H81" s="4">
        <v>10</v>
      </c>
      <c r="I81" t="str">
        <f t="shared" si="0"/>
        <v>LX/ML</v>
      </c>
      <c r="K81" t="str">
        <f t="shared" si="2"/>
        <v>R20260406-2-3</v>
      </c>
    </row>
    <row r="82" spans="1:11" x14ac:dyDescent="0.35">
      <c r="A82" t="s">
        <v>98</v>
      </c>
      <c r="B82">
        <v>1</v>
      </c>
      <c r="C82" t="s">
        <v>13</v>
      </c>
      <c r="D82" t="s">
        <v>15</v>
      </c>
      <c r="E82" t="s">
        <v>14</v>
      </c>
      <c r="F82" t="s">
        <v>12</v>
      </c>
      <c r="G82" s="4">
        <v>9</v>
      </c>
      <c r="H82" s="4">
        <v>10</v>
      </c>
      <c r="I82" t="str">
        <f t="shared" si="0"/>
        <v>LX/MN</v>
      </c>
      <c r="K82" t="str">
        <f t="shared" si="2"/>
        <v>R20260427-1-1</v>
      </c>
    </row>
    <row r="83" spans="1:11" x14ac:dyDescent="0.35">
      <c r="A83" t="s">
        <v>98</v>
      </c>
      <c r="B83">
        <v>2</v>
      </c>
      <c r="C83" t="s">
        <v>14</v>
      </c>
      <c r="D83" t="s">
        <v>13</v>
      </c>
      <c r="E83" t="s">
        <v>12</v>
      </c>
      <c r="F83" t="s">
        <v>15</v>
      </c>
      <c r="G83" s="4">
        <v>5</v>
      </c>
      <c r="H83" s="4">
        <v>10</v>
      </c>
      <c r="I83" t="str">
        <f t="shared" si="0"/>
        <v>LX/ML</v>
      </c>
      <c r="K83" t="str">
        <f t="shared" si="2"/>
        <v>R20260427-1-2</v>
      </c>
    </row>
    <row r="84" spans="1:11" x14ac:dyDescent="0.35">
      <c r="A84" t="s">
        <v>98</v>
      </c>
      <c r="B84">
        <v>3</v>
      </c>
      <c r="C84" t="s">
        <v>13</v>
      </c>
      <c r="D84" t="s">
        <v>12</v>
      </c>
      <c r="E84" t="s">
        <v>14</v>
      </c>
      <c r="F84" t="s">
        <v>15</v>
      </c>
      <c r="G84" s="4">
        <v>4</v>
      </c>
      <c r="H84" s="4">
        <v>10</v>
      </c>
      <c r="I84" t="str">
        <f t="shared" si="0"/>
        <v>ML/MN</v>
      </c>
      <c r="K84" t="str">
        <f t="shared" si="2"/>
        <v>R20260427-1-3</v>
      </c>
    </row>
    <row r="85" spans="1:11" x14ac:dyDescent="0.35">
      <c r="A85" t="s">
        <v>99</v>
      </c>
      <c r="B85">
        <v>1</v>
      </c>
      <c r="C85" t="s">
        <v>13</v>
      </c>
      <c r="D85" t="s">
        <v>12</v>
      </c>
      <c r="E85" t="s">
        <v>14</v>
      </c>
      <c r="F85" t="s">
        <v>15</v>
      </c>
      <c r="G85" s="4">
        <v>1</v>
      </c>
      <c r="H85" s="4">
        <v>10</v>
      </c>
      <c r="I85" t="str">
        <f t="shared" si="0"/>
        <v>ML/MN</v>
      </c>
      <c r="K85" t="str">
        <f t="shared" si="2"/>
        <v>R20260427-2-1</v>
      </c>
    </row>
    <row r="86" spans="1:11" x14ac:dyDescent="0.35">
      <c r="A86" t="s">
        <v>99</v>
      </c>
      <c r="B86">
        <v>2</v>
      </c>
      <c r="C86" t="s">
        <v>14</v>
      </c>
      <c r="D86" t="s">
        <v>12</v>
      </c>
      <c r="E86" t="s">
        <v>15</v>
      </c>
      <c r="F86" t="s">
        <v>13</v>
      </c>
      <c r="G86" s="4">
        <v>7</v>
      </c>
      <c r="H86" s="4">
        <v>10</v>
      </c>
      <c r="I86" t="str">
        <f t="shared" si="0"/>
        <v>ML/VM</v>
      </c>
      <c r="K86" t="str">
        <f t="shared" si="2"/>
        <v>R20260427-2-2</v>
      </c>
    </row>
    <row r="87" spans="1:11" x14ac:dyDescent="0.35">
      <c r="A87" t="s">
        <v>99</v>
      </c>
      <c r="B87">
        <v>3</v>
      </c>
      <c r="C87" t="s">
        <v>13</v>
      </c>
      <c r="D87" t="s">
        <v>14</v>
      </c>
      <c r="E87" t="s">
        <v>15</v>
      </c>
      <c r="F87" t="s">
        <v>12</v>
      </c>
      <c r="G87" s="4">
        <v>2</v>
      </c>
      <c r="H87" s="4">
        <v>10</v>
      </c>
      <c r="I87" t="str">
        <f t="shared" si="0"/>
        <v>LX/ML</v>
      </c>
      <c r="K87" t="str">
        <f t="shared" si="2"/>
        <v>R20260427-2-3</v>
      </c>
    </row>
    <row r="88" spans="1:11" x14ac:dyDescent="0.35">
      <c r="A88" t="s">
        <v>100</v>
      </c>
      <c r="B88">
        <v>1</v>
      </c>
      <c r="C88" t="s">
        <v>13</v>
      </c>
      <c r="D88" t="s">
        <v>15</v>
      </c>
      <c r="E88" t="s">
        <v>14</v>
      </c>
      <c r="F88" t="s">
        <v>12</v>
      </c>
      <c r="G88" s="4">
        <v>7</v>
      </c>
      <c r="H88" s="4">
        <v>10</v>
      </c>
      <c r="I88" t="str">
        <f t="shared" si="0"/>
        <v>LX/MN</v>
      </c>
      <c r="K88" t="str">
        <f t="shared" si="2"/>
        <v>R20260529-1-1</v>
      </c>
    </row>
    <row r="89" spans="1:11" x14ac:dyDescent="0.35">
      <c r="A89" t="s">
        <v>100</v>
      </c>
      <c r="B89">
        <v>2</v>
      </c>
      <c r="C89" t="s">
        <v>14</v>
      </c>
      <c r="D89" t="s">
        <v>13</v>
      </c>
      <c r="E89" t="s">
        <v>15</v>
      </c>
      <c r="F89" t="s">
        <v>12</v>
      </c>
      <c r="G89" s="4">
        <v>7</v>
      </c>
      <c r="H89" s="4">
        <v>10</v>
      </c>
      <c r="I89" t="str">
        <f t="shared" si="0"/>
        <v>LX/ML</v>
      </c>
      <c r="K89" t="str">
        <f t="shared" si="2"/>
        <v>R20260529-1-2</v>
      </c>
    </row>
    <row r="90" spans="1:11" x14ac:dyDescent="0.35">
      <c r="A90" t="s">
        <v>100</v>
      </c>
      <c r="B90">
        <v>3</v>
      </c>
      <c r="C90" t="s">
        <v>12</v>
      </c>
      <c r="D90" t="s">
        <v>13</v>
      </c>
      <c r="E90" t="s">
        <v>15</v>
      </c>
      <c r="F90" t="s">
        <v>14</v>
      </c>
      <c r="G90" s="4">
        <v>6</v>
      </c>
      <c r="H90" s="4">
        <v>10</v>
      </c>
      <c r="I90" t="str">
        <f t="shared" si="0"/>
        <v>ML/MN</v>
      </c>
      <c r="K90" t="str">
        <f t="shared" si="2"/>
        <v>R20260529-1-3</v>
      </c>
    </row>
    <row r="91" spans="1:11" x14ac:dyDescent="0.35">
      <c r="A91" t="s">
        <v>102</v>
      </c>
      <c r="B91">
        <v>1</v>
      </c>
      <c r="C91" t="s">
        <v>13</v>
      </c>
      <c r="D91" t="s">
        <v>15</v>
      </c>
      <c r="E91" t="s">
        <v>12</v>
      </c>
      <c r="F91" t="s">
        <v>14</v>
      </c>
      <c r="G91" s="4">
        <v>6</v>
      </c>
      <c r="H91" s="4">
        <v>10</v>
      </c>
      <c r="I91" t="str">
        <f t="shared" si="0"/>
        <v>LX/MN</v>
      </c>
      <c r="K91" t="str">
        <f t="shared" si="2"/>
        <v>R20260725-1-1</v>
      </c>
    </row>
    <row r="92" spans="1:11" x14ac:dyDescent="0.35">
      <c r="A92" t="s">
        <v>102</v>
      </c>
      <c r="B92">
        <v>2</v>
      </c>
      <c r="C92" t="s">
        <v>13</v>
      </c>
      <c r="D92" t="s">
        <v>12</v>
      </c>
      <c r="E92" t="s">
        <v>14</v>
      </c>
      <c r="F92" t="s">
        <v>15</v>
      </c>
      <c r="G92" s="4">
        <v>7</v>
      </c>
      <c r="H92" s="4">
        <v>10</v>
      </c>
      <c r="I92" t="str">
        <f t="shared" si="0"/>
        <v>ML/MN</v>
      </c>
      <c r="K92" t="str">
        <f t="shared" si="2"/>
        <v>R20260725-1-2</v>
      </c>
    </row>
    <row r="93" spans="1:11" x14ac:dyDescent="0.35">
      <c r="A93" t="s">
        <v>102</v>
      </c>
      <c r="B93">
        <v>3</v>
      </c>
      <c r="C93" t="s">
        <v>14</v>
      </c>
      <c r="D93" t="s">
        <v>13</v>
      </c>
      <c r="E93" t="s">
        <v>12</v>
      </c>
      <c r="F93" t="s">
        <v>15</v>
      </c>
      <c r="G93" s="4">
        <v>6</v>
      </c>
      <c r="H93" s="4">
        <v>10</v>
      </c>
      <c r="I93" t="str">
        <f t="shared" si="0"/>
        <v>LX/ML</v>
      </c>
      <c r="K93" t="str">
        <f t="shared" si="2"/>
        <v>R20260725-1-3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A91:A1048576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676D-AD31-4A56-94A6-6312DC3D8F3D}">
  <dimension ref="A1:I86"/>
  <sheetViews>
    <sheetView zoomScale="70" zoomScaleNormal="70" workbookViewId="0">
      <pane ySplit="1" topLeftCell="A32" activePane="bottomLeft" state="frozen"/>
      <selection pane="bottomLeft" activeCell="E16" sqref="E16"/>
    </sheetView>
  </sheetViews>
  <sheetFormatPr defaultRowHeight="14.5" x14ac:dyDescent="0.35"/>
  <cols>
    <col min="1" max="1" width="15.1796875" customWidth="1"/>
    <col min="2" max="2" width="9.90625" customWidth="1"/>
    <col min="4" max="5" width="8.7265625" style="5"/>
    <col min="7" max="8" width="13.54296875" customWidth="1"/>
    <col min="9" max="9" width="9.6328125" customWidth="1"/>
  </cols>
  <sheetData>
    <row r="1" spans="1:9" x14ac:dyDescent="0.35">
      <c r="A1" t="s">
        <v>68</v>
      </c>
      <c r="B1" t="s">
        <v>70</v>
      </c>
      <c r="C1" t="s">
        <v>71</v>
      </c>
      <c r="D1" s="5" t="s">
        <v>72</v>
      </c>
      <c r="E1" s="5" t="s">
        <v>73</v>
      </c>
      <c r="F1" t="s">
        <v>74</v>
      </c>
      <c r="G1" t="s">
        <v>75</v>
      </c>
      <c r="H1" t="s">
        <v>85</v>
      </c>
      <c r="I1" t="s">
        <v>76</v>
      </c>
    </row>
    <row r="2" spans="1:9" x14ac:dyDescent="0.35">
      <c r="A2" t="s">
        <v>77</v>
      </c>
      <c r="B2">
        <v>1</v>
      </c>
      <c r="C2" t="s">
        <v>12</v>
      </c>
      <c r="D2" s="5" t="s">
        <v>78</v>
      </c>
      <c r="E2" s="5" t="s">
        <v>81</v>
      </c>
    </row>
    <row r="3" spans="1:9" x14ac:dyDescent="0.35">
      <c r="A3" t="s">
        <v>77</v>
      </c>
      <c r="B3">
        <v>2</v>
      </c>
      <c r="C3" t="s">
        <v>15</v>
      </c>
      <c r="D3" s="5" t="s">
        <v>78</v>
      </c>
      <c r="E3" s="5" t="s">
        <v>81</v>
      </c>
    </row>
    <row r="4" spans="1:9" x14ac:dyDescent="0.35">
      <c r="A4" t="s">
        <v>77</v>
      </c>
      <c r="B4">
        <v>3</v>
      </c>
      <c r="C4" t="s">
        <v>15</v>
      </c>
      <c r="D4" s="5" t="s">
        <v>79</v>
      </c>
      <c r="E4" s="5" t="s">
        <v>81</v>
      </c>
    </row>
    <row r="5" spans="1:9" x14ac:dyDescent="0.35">
      <c r="A5" t="s">
        <v>77</v>
      </c>
      <c r="B5">
        <v>4</v>
      </c>
      <c r="C5" t="s">
        <v>15</v>
      </c>
      <c r="D5" s="5" t="s">
        <v>79</v>
      </c>
      <c r="E5" s="5" t="s">
        <v>81</v>
      </c>
      <c r="F5" t="s">
        <v>69</v>
      </c>
      <c r="G5">
        <v>1</v>
      </c>
    </row>
    <row r="6" spans="1:9" x14ac:dyDescent="0.35">
      <c r="A6" t="s">
        <v>77</v>
      </c>
      <c r="B6">
        <v>5</v>
      </c>
      <c r="C6" t="s">
        <v>14</v>
      </c>
      <c r="D6" s="5" t="s">
        <v>78</v>
      </c>
      <c r="E6" s="5" t="s">
        <v>81</v>
      </c>
    </row>
    <row r="7" spans="1:9" x14ac:dyDescent="0.35">
      <c r="A7" t="s">
        <v>77</v>
      </c>
      <c r="B7">
        <v>6</v>
      </c>
      <c r="C7" t="s">
        <v>14</v>
      </c>
      <c r="D7" s="5" t="s">
        <v>78</v>
      </c>
      <c r="E7" s="5" t="s">
        <v>81</v>
      </c>
      <c r="F7" t="s">
        <v>69</v>
      </c>
      <c r="G7">
        <v>1</v>
      </c>
    </row>
    <row r="8" spans="1:9" x14ac:dyDescent="0.35">
      <c r="A8" t="s">
        <v>77</v>
      </c>
      <c r="B8">
        <v>7</v>
      </c>
      <c r="C8" t="s">
        <v>13</v>
      </c>
      <c r="D8" s="5" t="s">
        <v>80</v>
      </c>
    </row>
    <row r="9" spans="1:9" x14ac:dyDescent="0.35">
      <c r="A9" t="s">
        <v>77</v>
      </c>
      <c r="B9">
        <v>8</v>
      </c>
      <c r="C9" t="s">
        <v>13</v>
      </c>
      <c r="D9" s="5" t="s">
        <v>78</v>
      </c>
      <c r="E9" s="5" t="s">
        <v>82</v>
      </c>
    </row>
    <row r="10" spans="1:9" x14ac:dyDescent="0.35">
      <c r="A10" t="s">
        <v>83</v>
      </c>
      <c r="B10">
        <v>1</v>
      </c>
      <c r="C10" t="s">
        <v>12</v>
      </c>
      <c r="D10" s="5" t="s">
        <v>79</v>
      </c>
      <c r="E10" s="5" t="s">
        <v>81</v>
      </c>
    </row>
    <row r="11" spans="1:9" x14ac:dyDescent="0.35">
      <c r="A11" t="s">
        <v>83</v>
      </c>
      <c r="B11">
        <v>2</v>
      </c>
      <c r="C11" t="s">
        <v>15</v>
      </c>
      <c r="D11" s="5" t="s">
        <v>79</v>
      </c>
      <c r="E11" s="5" t="s">
        <v>82</v>
      </c>
    </row>
    <row r="12" spans="1:9" x14ac:dyDescent="0.35">
      <c r="A12" t="s">
        <v>83</v>
      </c>
      <c r="B12">
        <v>3</v>
      </c>
      <c r="C12" t="s">
        <v>14</v>
      </c>
      <c r="D12" s="5" t="s">
        <v>78</v>
      </c>
      <c r="E12" s="5" t="s">
        <v>82</v>
      </c>
    </row>
    <row r="13" spans="1:9" x14ac:dyDescent="0.35">
      <c r="A13" t="s">
        <v>83</v>
      </c>
      <c r="B13">
        <v>4</v>
      </c>
      <c r="C13" t="s">
        <v>13</v>
      </c>
      <c r="D13" s="5" t="s">
        <v>78</v>
      </c>
      <c r="E13" s="5" t="s">
        <v>82</v>
      </c>
    </row>
    <row r="14" spans="1:9" x14ac:dyDescent="0.35">
      <c r="A14" t="s">
        <v>83</v>
      </c>
      <c r="B14">
        <v>5</v>
      </c>
      <c r="C14" t="s">
        <v>13</v>
      </c>
      <c r="D14" s="5" t="s">
        <v>79</v>
      </c>
      <c r="E14" s="5" t="s">
        <v>81</v>
      </c>
    </row>
    <row r="15" spans="1:9" x14ac:dyDescent="0.35">
      <c r="A15" t="s">
        <v>83</v>
      </c>
      <c r="B15">
        <v>6</v>
      </c>
      <c r="C15" t="s">
        <v>13</v>
      </c>
      <c r="D15" s="5" t="s">
        <v>78</v>
      </c>
      <c r="E15" s="5" t="s">
        <v>82</v>
      </c>
    </row>
    <row r="16" spans="1:9" x14ac:dyDescent="0.35">
      <c r="A16" t="s">
        <v>84</v>
      </c>
      <c r="B16">
        <v>1</v>
      </c>
      <c r="C16" t="s">
        <v>12</v>
      </c>
      <c r="D16" s="5" t="s">
        <v>79</v>
      </c>
      <c r="E16" s="5" t="s">
        <v>81</v>
      </c>
    </row>
    <row r="17" spans="1:8" x14ac:dyDescent="0.35">
      <c r="A17" t="s">
        <v>84</v>
      </c>
      <c r="B17">
        <v>2</v>
      </c>
      <c r="C17" t="s">
        <v>12</v>
      </c>
      <c r="D17" s="5" t="s">
        <v>79</v>
      </c>
      <c r="E17" s="5" t="s">
        <v>81</v>
      </c>
    </row>
    <row r="18" spans="1:8" x14ac:dyDescent="0.35">
      <c r="A18" t="s">
        <v>84</v>
      </c>
      <c r="B18">
        <v>3</v>
      </c>
      <c r="C18" t="s">
        <v>12</v>
      </c>
      <c r="D18" s="5" t="s">
        <v>79</v>
      </c>
      <c r="E18" s="5" t="s">
        <v>82</v>
      </c>
      <c r="F18" t="s">
        <v>87</v>
      </c>
      <c r="H18" t="s">
        <v>88</v>
      </c>
    </row>
    <row r="19" spans="1:8" x14ac:dyDescent="0.35">
      <c r="A19" t="s">
        <v>84</v>
      </c>
      <c r="B19">
        <v>4</v>
      </c>
      <c r="C19" t="s">
        <v>15</v>
      </c>
      <c r="D19" s="5" t="s">
        <v>86</v>
      </c>
      <c r="E19" s="5" t="s">
        <v>82</v>
      </c>
    </row>
    <row r="20" spans="1:8" x14ac:dyDescent="0.35">
      <c r="A20" t="s">
        <v>84</v>
      </c>
      <c r="B20">
        <v>5</v>
      </c>
      <c r="C20" t="s">
        <v>15</v>
      </c>
      <c r="D20" s="5" t="s">
        <v>79</v>
      </c>
      <c r="E20" s="5" t="s">
        <v>82</v>
      </c>
    </row>
    <row r="21" spans="1:8" x14ac:dyDescent="0.35">
      <c r="A21" t="s">
        <v>84</v>
      </c>
      <c r="B21">
        <v>6</v>
      </c>
      <c r="C21" t="s">
        <v>13</v>
      </c>
      <c r="D21" s="5" t="s">
        <v>78</v>
      </c>
      <c r="E21" s="5" t="s">
        <v>81</v>
      </c>
    </row>
    <row r="22" spans="1:8" x14ac:dyDescent="0.35">
      <c r="A22" t="s">
        <v>89</v>
      </c>
      <c r="B22">
        <v>1</v>
      </c>
      <c r="C22" t="s">
        <v>12</v>
      </c>
      <c r="D22" s="5" t="s">
        <v>80</v>
      </c>
    </row>
    <row r="23" spans="1:8" x14ac:dyDescent="0.35">
      <c r="A23" t="s">
        <v>89</v>
      </c>
      <c r="B23">
        <v>2</v>
      </c>
      <c r="C23" t="s">
        <v>12</v>
      </c>
      <c r="D23" s="5" t="s">
        <v>78</v>
      </c>
      <c r="E23" s="5" t="s">
        <v>81</v>
      </c>
    </row>
    <row r="24" spans="1:8" x14ac:dyDescent="0.35">
      <c r="A24" t="s">
        <v>89</v>
      </c>
      <c r="B24">
        <v>3</v>
      </c>
      <c r="C24" t="s">
        <v>12</v>
      </c>
      <c r="D24" s="5" t="s">
        <v>78</v>
      </c>
      <c r="E24" s="5" t="s">
        <v>81</v>
      </c>
      <c r="F24" t="s">
        <v>69</v>
      </c>
      <c r="G24">
        <v>1</v>
      </c>
    </row>
    <row r="25" spans="1:8" x14ac:dyDescent="0.35">
      <c r="A25" t="s">
        <v>89</v>
      </c>
      <c r="B25">
        <v>4</v>
      </c>
      <c r="C25" t="s">
        <v>15</v>
      </c>
      <c r="D25" s="5" t="s">
        <v>79</v>
      </c>
      <c r="E25" s="5" t="s">
        <v>81</v>
      </c>
    </row>
    <row r="26" spans="1:8" x14ac:dyDescent="0.35">
      <c r="A26" t="s">
        <v>89</v>
      </c>
      <c r="B26">
        <v>5</v>
      </c>
      <c r="C26" t="s">
        <v>15</v>
      </c>
      <c r="D26" s="5" t="s">
        <v>79</v>
      </c>
      <c r="E26" s="5" t="s">
        <v>81</v>
      </c>
    </row>
    <row r="27" spans="1:8" x14ac:dyDescent="0.35">
      <c r="A27" t="s">
        <v>89</v>
      </c>
      <c r="B27">
        <v>6</v>
      </c>
      <c r="C27" t="s">
        <v>15</v>
      </c>
      <c r="D27" s="5" t="s">
        <v>79</v>
      </c>
      <c r="E27" s="5" t="s">
        <v>81</v>
      </c>
    </row>
    <row r="28" spans="1:8" x14ac:dyDescent="0.35">
      <c r="A28" t="s">
        <v>89</v>
      </c>
      <c r="B28">
        <v>7</v>
      </c>
      <c r="C28" t="s">
        <v>14</v>
      </c>
      <c r="D28" s="5" t="s">
        <v>79</v>
      </c>
      <c r="E28" s="5" t="s">
        <v>81</v>
      </c>
    </row>
    <row r="29" spans="1:8" x14ac:dyDescent="0.35">
      <c r="A29" t="s">
        <v>89</v>
      </c>
      <c r="B29">
        <v>8</v>
      </c>
      <c r="C29" t="s">
        <v>14</v>
      </c>
      <c r="D29" s="5" t="s">
        <v>79</v>
      </c>
      <c r="E29" s="5" t="s">
        <v>82</v>
      </c>
    </row>
    <row r="30" spans="1:8" x14ac:dyDescent="0.35">
      <c r="A30" t="s">
        <v>89</v>
      </c>
      <c r="B30">
        <v>9</v>
      </c>
      <c r="C30" t="s">
        <v>14</v>
      </c>
      <c r="D30" s="5" t="s">
        <v>78</v>
      </c>
      <c r="E30" s="5" t="s">
        <v>82</v>
      </c>
    </row>
    <row r="31" spans="1:8" x14ac:dyDescent="0.35">
      <c r="A31" t="s">
        <v>89</v>
      </c>
      <c r="B31">
        <v>10</v>
      </c>
      <c r="C31" t="s">
        <v>13</v>
      </c>
      <c r="D31" s="5" t="s">
        <v>78</v>
      </c>
      <c r="E31" s="5" t="s">
        <v>81</v>
      </c>
    </row>
    <row r="32" spans="1:8" x14ac:dyDescent="0.35">
      <c r="A32" t="s">
        <v>90</v>
      </c>
      <c r="B32">
        <v>1</v>
      </c>
      <c r="C32" t="s">
        <v>14</v>
      </c>
      <c r="D32" s="5" t="s">
        <v>78</v>
      </c>
      <c r="E32" s="5" t="s">
        <v>81</v>
      </c>
      <c r="F32" t="s">
        <v>69</v>
      </c>
      <c r="G32">
        <v>1</v>
      </c>
    </row>
    <row r="33" spans="1:5" x14ac:dyDescent="0.35">
      <c r="A33" t="s">
        <v>90</v>
      </c>
      <c r="B33">
        <v>2</v>
      </c>
      <c r="C33" t="s">
        <v>14</v>
      </c>
      <c r="D33" s="5" t="s">
        <v>79</v>
      </c>
      <c r="E33" s="5" t="s">
        <v>82</v>
      </c>
    </row>
    <row r="34" spans="1:5" x14ac:dyDescent="0.35">
      <c r="A34" t="s">
        <v>90</v>
      </c>
      <c r="B34">
        <v>3</v>
      </c>
      <c r="C34" t="s">
        <v>15</v>
      </c>
      <c r="D34" s="5" t="s">
        <v>79</v>
      </c>
      <c r="E34" s="5" t="s">
        <v>82</v>
      </c>
    </row>
    <row r="35" spans="1:5" x14ac:dyDescent="0.35">
      <c r="A35" t="s">
        <v>90</v>
      </c>
      <c r="B35">
        <v>4</v>
      </c>
      <c r="C35" t="s">
        <v>14</v>
      </c>
      <c r="D35" s="5" t="s">
        <v>78</v>
      </c>
      <c r="E35" s="5" t="s">
        <v>81</v>
      </c>
    </row>
    <row r="36" spans="1:5" x14ac:dyDescent="0.35">
      <c r="A36" t="s">
        <v>90</v>
      </c>
      <c r="B36">
        <v>5</v>
      </c>
      <c r="C36" t="s">
        <v>12</v>
      </c>
      <c r="D36" s="5" t="s">
        <v>79</v>
      </c>
      <c r="E36" s="5" t="s">
        <v>82</v>
      </c>
    </row>
    <row r="37" spans="1:5" x14ac:dyDescent="0.35">
      <c r="A37" t="s">
        <v>90</v>
      </c>
      <c r="B37">
        <v>6</v>
      </c>
      <c r="C37" t="s">
        <v>13</v>
      </c>
      <c r="D37" s="5" t="s">
        <v>79</v>
      </c>
      <c r="E37" s="5" t="s">
        <v>81</v>
      </c>
    </row>
    <row r="38" spans="1:5" x14ac:dyDescent="0.35">
      <c r="A38" t="s">
        <v>91</v>
      </c>
      <c r="B38">
        <v>1</v>
      </c>
      <c r="C38" t="s">
        <v>14</v>
      </c>
      <c r="D38" s="5" t="s">
        <v>78</v>
      </c>
      <c r="E38" s="5" t="s">
        <v>82</v>
      </c>
    </row>
    <row r="39" spans="1:5" x14ac:dyDescent="0.35">
      <c r="A39" t="s">
        <v>91</v>
      </c>
      <c r="B39">
        <v>2</v>
      </c>
      <c r="C39" t="s">
        <v>15</v>
      </c>
      <c r="D39" s="5" t="s">
        <v>79</v>
      </c>
      <c r="E39" s="5" t="s">
        <v>81</v>
      </c>
    </row>
    <row r="40" spans="1:5" x14ac:dyDescent="0.35">
      <c r="A40" t="s">
        <v>91</v>
      </c>
      <c r="B40">
        <v>3</v>
      </c>
      <c r="C40" t="s">
        <v>13</v>
      </c>
      <c r="D40" s="5" t="s">
        <v>79</v>
      </c>
      <c r="E40" s="5" t="s">
        <v>81</v>
      </c>
    </row>
    <row r="41" spans="1:5" x14ac:dyDescent="0.35">
      <c r="A41" t="s">
        <v>91</v>
      </c>
      <c r="B41">
        <v>4</v>
      </c>
      <c r="C41" t="s">
        <v>12</v>
      </c>
      <c r="D41" s="5" t="s">
        <v>78</v>
      </c>
      <c r="E41" s="5" t="s">
        <v>81</v>
      </c>
    </row>
    <row r="42" spans="1:5" x14ac:dyDescent="0.35">
      <c r="A42" t="s">
        <v>91</v>
      </c>
      <c r="B42">
        <v>5</v>
      </c>
      <c r="C42" t="s">
        <v>15</v>
      </c>
      <c r="D42" s="5" t="s">
        <v>79</v>
      </c>
      <c r="E42" s="5" t="s">
        <v>81</v>
      </c>
    </row>
    <row r="43" spans="1:5" x14ac:dyDescent="0.35">
      <c r="A43" t="s">
        <v>91</v>
      </c>
      <c r="B43">
        <v>6</v>
      </c>
      <c r="C43" t="s">
        <v>12</v>
      </c>
      <c r="D43" s="5" t="s">
        <v>78</v>
      </c>
      <c r="E43" s="5" t="s">
        <v>82</v>
      </c>
    </row>
    <row r="44" spans="1:5" x14ac:dyDescent="0.35">
      <c r="A44" t="s">
        <v>91</v>
      </c>
      <c r="B44">
        <v>7</v>
      </c>
      <c r="C44" t="s">
        <v>12</v>
      </c>
      <c r="D44" s="5" t="s">
        <v>79</v>
      </c>
      <c r="E44" s="5" t="s">
        <v>81</v>
      </c>
    </row>
    <row r="45" spans="1:5" x14ac:dyDescent="0.35">
      <c r="A45" t="s">
        <v>91</v>
      </c>
      <c r="B45">
        <v>8</v>
      </c>
      <c r="C45" t="s">
        <v>13</v>
      </c>
      <c r="D45" s="5" t="s">
        <v>80</v>
      </c>
    </row>
    <row r="46" spans="1:5" x14ac:dyDescent="0.35">
      <c r="A46" t="s">
        <v>91</v>
      </c>
      <c r="B46">
        <v>9</v>
      </c>
      <c r="C46" t="s">
        <v>14</v>
      </c>
      <c r="D46" s="5" t="s">
        <v>79</v>
      </c>
      <c r="E46" s="5" t="s">
        <v>82</v>
      </c>
    </row>
    <row r="47" spans="1:5" x14ac:dyDescent="0.35">
      <c r="A47" t="s">
        <v>91</v>
      </c>
      <c r="B47">
        <v>10</v>
      </c>
      <c r="C47" t="s">
        <v>13</v>
      </c>
      <c r="D47" s="5" t="s">
        <v>79</v>
      </c>
      <c r="E47" s="5" t="s">
        <v>81</v>
      </c>
    </row>
    <row r="48" spans="1:5" x14ac:dyDescent="0.35">
      <c r="A48" t="s">
        <v>92</v>
      </c>
      <c r="B48">
        <v>1</v>
      </c>
      <c r="C48" t="s">
        <v>14</v>
      </c>
      <c r="D48" s="5" t="s">
        <v>86</v>
      </c>
      <c r="E48" s="5" t="s">
        <v>82</v>
      </c>
    </row>
    <row r="49" spans="1:5" x14ac:dyDescent="0.35">
      <c r="A49" t="s">
        <v>92</v>
      </c>
      <c r="B49">
        <v>2</v>
      </c>
      <c r="C49" t="s">
        <v>14</v>
      </c>
      <c r="D49" s="5" t="s">
        <v>79</v>
      </c>
      <c r="E49" s="5" t="s">
        <v>81</v>
      </c>
    </row>
    <row r="50" spans="1:5" x14ac:dyDescent="0.35">
      <c r="A50" t="s">
        <v>92</v>
      </c>
      <c r="B50">
        <v>3</v>
      </c>
      <c r="C50" t="s">
        <v>13</v>
      </c>
      <c r="D50" s="5" t="s">
        <v>78</v>
      </c>
      <c r="E50" s="5" t="s">
        <v>81</v>
      </c>
    </row>
    <row r="51" spans="1:5" x14ac:dyDescent="0.35">
      <c r="A51" t="s">
        <v>92</v>
      </c>
      <c r="B51">
        <v>4</v>
      </c>
      <c r="C51" t="s">
        <v>12</v>
      </c>
      <c r="D51" s="5" t="s">
        <v>79</v>
      </c>
      <c r="E51" s="5" t="s">
        <v>81</v>
      </c>
    </row>
    <row r="52" spans="1:5" x14ac:dyDescent="0.35">
      <c r="A52" t="s">
        <v>92</v>
      </c>
      <c r="B52">
        <v>5</v>
      </c>
      <c r="C52" t="s">
        <v>14</v>
      </c>
      <c r="D52" s="5" t="s">
        <v>80</v>
      </c>
    </row>
    <row r="53" spans="1:5" x14ac:dyDescent="0.35">
      <c r="A53" t="s">
        <v>92</v>
      </c>
      <c r="B53">
        <v>6</v>
      </c>
      <c r="C53" t="s">
        <v>15</v>
      </c>
      <c r="D53" s="5" t="s">
        <v>79</v>
      </c>
      <c r="E53" s="5" t="s">
        <v>81</v>
      </c>
    </row>
    <row r="54" spans="1:5" x14ac:dyDescent="0.35">
      <c r="A54" t="s">
        <v>92</v>
      </c>
      <c r="B54">
        <v>7</v>
      </c>
      <c r="C54" t="s">
        <v>13</v>
      </c>
      <c r="D54" s="5" t="s">
        <v>79</v>
      </c>
      <c r="E54" s="5" t="s">
        <v>81</v>
      </c>
    </row>
    <row r="55" spans="1:5" x14ac:dyDescent="0.35">
      <c r="A55" t="s">
        <v>92</v>
      </c>
      <c r="B55">
        <v>8</v>
      </c>
      <c r="C55" t="s">
        <v>13</v>
      </c>
      <c r="D55" s="5" t="s">
        <v>79</v>
      </c>
      <c r="E55" s="5" t="s">
        <v>81</v>
      </c>
    </row>
    <row r="56" spans="1:5" x14ac:dyDescent="0.35">
      <c r="A56" t="s">
        <v>92</v>
      </c>
      <c r="B56">
        <v>9</v>
      </c>
      <c r="C56" t="s">
        <v>15</v>
      </c>
      <c r="D56" s="5" t="s">
        <v>79</v>
      </c>
      <c r="E56" s="5" t="s">
        <v>81</v>
      </c>
    </row>
    <row r="57" spans="1:5" x14ac:dyDescent="0.35">
      <c r="A57" t="s">
        <v>93</v>
      </c>
      <c r="B57">
        <v>1</v>
      </c>
      <c r="C57" t="s">
        <v>14</v>
      </c>
      <c r="D57" s="5" t="s">
        <v>79</v>
      </c>
      <c r="E57" s="5" t="s">
        <v>81</v>
      </c>
    </row>
    <row r="58" spans="1:5" x14ac:dyDescent="0.35">
      <c r="A58" t="s">
        <v>93</v>
      </c>
      <c r="B58">
        <v>2</v>
      </c>
      <c r="C58" t="s">
        <v>13</v>
      </c>
      <c r="D58" s="5" t="s">
        <v>79</v>
      </c>
      <c r="E58" s="5" t="s">
        <v>81</v>
      </c>
    </row>
    <row r="59" spans="1:5" x14ac:dyDescent="0.35">
      <c r="A59" t="s">
        <v>93</v>
      </c>
      <c r="B59">
        <v>3</v>
      </c>
      <c r="C59" t="s">
        <v>15</v>
      </c>
      <c r="D59" s="5" t="s">
        <v>79</v>
      </c>
      <c r="E59" s="5" t="s">
        <v>81</v>
      </c>
    </row>
    <row r="60" spans="1:5" x14ac:dyDescent="0.35">
      <c r="A60" t="s">
        <v>93</v>
      </c>
      <c r="B60">
        <v>4</v>
      </c>
      <c r="C60" t="s">
        <v>12</v>
      </c>
      <c r="D60" s="5" t="s">
        <v>79</v>
      </c>
      <c r="E60" s="5" t="s">
        <v>82</v>
      </c>
    </row>
    <row r="61" spans="1:5" x14ac:dyDescent="0.35">
      <c r="A61" t="s">
        <v>93</v>
      </c>
      <c r="B61">
        <v>5</v>
      </c>
      <c r="C61" t="s">
        <v>13</v>
      </c>
      <c r="D61" s="5" t="s">
        <v>79</v>
      </c>
      <c r="E61" s="5" t="s">
        <v>81</v>
      </c>
    </row>
    <row r="62" spans="1:5" x14ac:dyDescent="0.35">
      <c r="A62" t="s">
        <v>93</v>
      </c>
      <c r="B62">
        <v>6</v>
      </c>
      <c r="C62" t="s">
        <v>15</v>
      </c>
      <c r="D62" s="5" t="s">
        <v>79</v>
      </c>
      <c r="E62" s="5" t="s">
        <v>82</v>
      </c>
    </row>
    <row r="63" spans="1:5" x14ac:dyDescent="0.35">
      <c r="A63" t="s">
        <v>93</v>
      </c>
      <c r="B63">
        <v>7</v>
      </c>
      <c r="C63" t="s">
        <v>13</v>
      </c>
      <c r="D63" s="5" t="s">
        <v>79</v>
      </c>
      <c r="E63" s="5" t="s">
        <v>81</v>
      </c>
    </row>
    <row r="64" spans="1:5" x14ac:dyDescent="0.35">
      <c r="A64" t="s">
        <v>93</v>
      </c>
      <c r="B64">
        <v>8</v>
      </c>
      <c r="C64" t="s">
        <v>14</v>
      </c>
      <c r="D64" s="5" t="s">
        <v>79</v>
      </c>
      <c r="E64" s="5" t="s">
        <v>81</v>
      </c>
    </row>
    <row r="65" spans="1:7" x14ac:dyDescent="0.35">
      <c r="A65" t="s">
        <v>93</v>
      </c>
      <c r="B65">
        <v>9</v>
      </c>
      <c r="C65" t="s">
        <v>14</v>
      </c>
      <c r="D65" s="5" t="s">
        <v>78</v>
      </c>
      <c r="E65" s="5" t="s">
        <v>81</v>
      </c>
    </row>
    <row r="66" spans="1:7" x14ac:dyDescent="0.35">
      <c r="A66" t="s">
        <v>94</v>
      </c>
      <c r="C66" t="s">
        <v>14</v>
      </c>
      <c r="D66" s="5" t="s">
        <v>78</v>
      </c>
      <c r="E66" s="5" t="s">
        <v>81</v>
      </c>
      <c r="F66" t="s">
        <v>69</v>
      </c>
      <c r="G66">
        <v>0</v>
      </c>
    </row>
    <row r="67" spans="1:7" x14ac:dyDescent="0.35">
      <c r="A67" t="s">
        <v>94</v>
      </c>
      <c r="C67" t="s">
        <v>14</v>
      </c>
      <c r="D67" s="5" t="s">
        <v>78</v>
      </c>
      <c r="E67" s="5" t="s">
        <v>82</v>
      </c>
      <c r="F67" t="s">
        <v>95</v>
      </c>
    </row>
    <row r="68" spans="1:7" x14ac:dyDescent="0.35">
      <c r="A68" t="s">
        <v>94</v>
      </c>
      <c r="C68" t="s">
        <v>14</v>
      </c>
      <c r="D68" s="5" t="s">
        <v>78</v>
      </c>
      <c r="E68" s="5" t="s">
        <v>81</v>
      </c>
    </row>
    <row r="69" spans="1:7" x14ac:dyDescent="0.35">
      <c r="A69" t="s">
        <v>94</v>
      </c>
      <c r="C69" t="s">
        <v>14</v>
      </c>
      <c r="D69" s="5" t="s">
        <v>79</v>
      </c>
      <c r="E69" s="5" t="s">
        <v>82</v>
      </c>
    </row>
    <row r="70" spans="1:7" x14ac:dyDescent="0.35">
      <c r="A70" t="s">
        <v>94</v>
      </c>
      <c r="C70" t="s">
        <v>15</v>
      </c>
      <c r="D70" s="5" t="s">
        <v>79</v>
      </c>
      <c r="E70" s="5" t="s">
        <v>82</v>
      </c>
    </row>
    <row r="71" spans="1:7" x14ac:dyDescent="0.35">
      <c r="A71" t="s">
        <v>94</v>
      </c>
      <c r="C71" t="s">
        <v>15</v>
      </c>
      <c r="D71" s="5" t="s">
        <v>79</v>
      </c>
      <c r="E71" s="5" t="s">
        <v>81</v>
      </c>
    </row>
    <row r="72" spans="1:7" x14ac:dyDescent="0.35">
      <c r="A72" t="s">
        <v>94</v>
      </c>
      <c r="C72" t="s">
        <v>15</v>
      </c>
      <c r="D72" s="5" t="s">
        <v>79</v>
      </c>
      <c r="E72" s="5" t="s">
        <v>81</v>
      </c>
    </row>
    <row r="73" spans="1:7" x14ac:dyDescent="0.35">
      <c r="A73" t="s">
        <v>94</v>
      </c>
      <c r="C73" t="s">
        <v>15</v>
      </c>
      <c r="D73" s="5" t="s">
        <v>78</v>
      </c>
      <c r="E73" s="5" t="s">
        <v>81</v>
      </c>
    </row>
    <row r="74" spans="1:7" x14ac:dyDescent="0.35">
      <c r="A74" t="s">
        <v>96</v>
      </c>
      <c r="C74" t="s">
        <v>14</v>
      </c>
      <c r="D74" s="5" t="s">
        <v>79</v>
      </c>
      <c r="E74" s="5" t="s">
        <v>82</v>
      </c>
    </row>
    <row r="75" spans="1:7" x14ac:dyDescent="0.35">
      <c r="A75" t="s">
        <v>96</v>
      </c>
      <c r="C75" t="s">
        <v>14</v>
      </c>
      <c r="D75" s="5" t="s">
        <v>79</v>
      </c>
      <c r="E75" s="5" t="s">
        <v>81</v>
      </c>
    </row>
    <row r="76" spans="1:7" x14ac:dyDescent="0.35">
      <c r="A76" t="s">
        <v>96</v>
      </c>
      <c r="C76" t="s">
        <v>14</v>
      </c>
      <c r="D76" s="5" t="s">
        <v>78</v>
      </c>
      <c r="E76" s="5" t="s">
        <v>82</v>
      </c>
    </row>
    <row r="77" spans="1:7" x14ac:dyDescent="0.35">
      <c r="A77" t="s">
        <v>96</v>
      </c>
      <c r="C77" t="s">
        <v>15</v>
      </c>
      <c r="D77" s="5" t="s">
        <v>79</v>
      </c>
      <c r="E77" s="5" t="s">
        <v>82</v>
      </c>
    </row>
    <row r="78" spans="1:7" x14ac:dyDescent="0.35">
      <c r="A78" t="s">
        <v>96</v>
      </c>
      <c r="C78" t="s">
        <v>15</v>
      </c>
      <c r="D78" s="5" t="s">
        <v>79</v>
      </c>
      <c r="E78" s="5" t="s">
        <v>82</v>
      </c>
    </row>
    <row r="79" spans="1:7" x14ac:dyDescent="0.35">
      <c r="A79" t="s">
        <v>96</v>
      </c>
      <c r="C79" t="s">
        <v>13</v>
      </c>
      <c r="D79" s="5" t="s">
        <v>86</v>
      </c>
      <c r="E79" s="5" t="s">
        <v>81</v>
      </c>
    </row>
    <row r="80" spans="1:7" x14ac:dyDescent="0.35">
      <c r="A80" t="s">
        <v>96</v>
      </c>
      <c r="C80" t="s">
        <v>13</v>
      </c>
      <c r="D80" s="5" t="s">
        <v>79</v>
      </c>
      <c r="E80" s="5" t="s">
        <v>82</v>
      </c>
    </row>
    <row r="81" spans="1:6" x14ac:dyDescent="0.35">
      <c r="A81" t="s">
        <v>97</v>
      </c>
      <c r="C81" t="s">
        <v>14</v>
      </c>
      <c r="D81" s="5" t="s">
        <v>78</v>
      </c>
      <c r="E81" s="5" t="s">
        <v>82</v>
      </c>
    </row>
    <row r="82" spans="1:6" x14ac:dyDescent="0.35">
      <c r="A82" t="s">
        <v>97</v>
      </c>
      <c r="C82" t="s">
        <v>15</v>
      </c>
      <c r="D82" s="5" t="s">
        <v>78</v>
      </c>
      <c r="E82" s="5" t="s">
        <v>82</v>
      </c>
    </row>
    <row r="83" spans="1:6" x14ac:dyDescent="0.35">
      <c r="A83" t="s">
        <v>97</v>
      </c>
      <c r="C83" t="s">
        <v>15</v>
      </c>
      <c r="D83" s="5" t="s">
        <v>79</v>
      </c>
      <c r="E83" s="5" t="s">
        <v>81</v>
      </c>
    </row>
    <row r="84" spans="1:6" x14ac:dyDescent="0.35">
      <c r="A84" t="s">
        <v>97</v>
      </c>
      <c r="C84" t="s">
        <v>12</v>
      </c>
      <c r="D84" s="5" t="s">
        <v>78</v>
      </c>
      <c r="E84" s="5" t="s">
        <v>81</v>
      </c>
    </row>
    <row r="85" spans="1:6" x14ac:dyDescent="0.35">
      <c r="A85" t="s">
        <v>97</v>
      </c>
      <c r="C85" t="s">
        <v>13</v>
      </c>
      <c r="D85" s="5" t="s">
        <v>78</v>
      </c>
      <c r="E85" s="5" t="s">
        <v>82</v>
      </c>
    </row>
    <row r="86" spans="1:6" x14ac:dyDescent="0.35">
      <c r="A86" t="s">
        <v>97</v>
      </c>
      <c r="C86" t="s">
        <v>13</v>
      </c>
      <c r="D86" s="5" t="s">
        <v>78</v>
      </c>
      <c r="E86" s="5" t="s">
        <v>82</v>
      </c>
      <c r="F86" t="s">
        <v>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abSelected="1" topLeftCell="B1" zoomScale="115" zoomScaleNormal="115" workbookViewId="0">
      <pane ySplit="1" topLeftCell="A2" activePane="bottomLeft" state="frozen"/>
      <selection pane="bottomLeft" activeCell="L29" sqref="L29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17968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7</v>
      </c>
      <c r="D2" cm="1">
        <f t="array" aca="1" ref="D2" ca="1">SUMPRODUCT(--LEFT(INDIRECT("Revolutions!F2:F"&amp;$G$2)))</f>
        <v>49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696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79</v>
      </c>
      <c r="G2" cm="1">
        <f t="array" ref="G2">MATCH(2,1/(Revolutions!A:A&lt;&gt;""),1)</f>
        <v>32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10</v>
      </c>
      <c r="D3" cm="1">
        <f t="array" aca="1" ref="D3" ca="1">SUMPRODUCT(--LEFT(INDIRECT("Revolutions!G2:G"&amp;$G$2),1))</f>
        <v>52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707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81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11</v>
      </c>
      <c r="D4" cm="1">
        <f t="array" aca="1" ref="D4" ca="1">SUMPRODUCT(--LEFT(INDIRECT("Revolutions!H2:H"&amp;$G$2)))</f>
        <v>50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737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90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6</v>
      </c>
      <c r="D5" cm="1">
        <f t="array" aca="1" ref="D5" ca="1">SUMPRODUCT(--LEFT(INDIRECT("Revolutions!I2:I"&amp;$G$2),1))</f>
        <v>33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658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71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23" yWindow="523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Revolutions</vt:lpstr>
      <vt:lpstr>Matches</vt:lpstr>
      <vt:lpstr>Betting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2026-07-26T05:21:43Z</dcterms:modified>
</cp:coreProperties>
</file>