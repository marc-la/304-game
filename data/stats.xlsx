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\home\marc\GitHub\304-game\docs\"/>
    </mc:Choice>
  </mc:AlternateContent>
  <xr:revisionPtr revIDLastSave="0" documentId="13_ncr:1_{226B2D8F-8E9C-4084-98E0-13FC6F7DBC2A}" xr6:coauthVersionLast="47" xr6:coauthVersionMax="47" xr10:uidLastSave="{00000000-0000-0000-0000-000000000000}"/>
  <bookViews>
    <workbookView xWindow="-110" yWindow="-110" windowWidth="38620" windowHeight="21100" activeTab="3" xr2:uid="{00000000-000D-0000-FFFF-FFFF00000000}"/>
  </bookViews>
  <sheets>
    <sheet name="Revolutions" sheetId="1" r:id="rId1"/>
    <sheet name="Matches" sheetId="3" r:id="rId2"/>
    <sheet name="Betting" sheetId="5" state="hidden" r:id="rId3"/>
    <sheet name="By Player" sheetId="4" r:id="rId4"/>
  </sheets>
  <definedNames>
    <definedName name="Initials">'By Player'!$A$2:$A$5</definedName>
    <definedName name="Players">'By Player'!$A$2:$A$5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<sst xmlns="http://schemas.openxmlformats.org/spreadsheetml/2006/main" count="884" uniqueCount="104">
  <si>
    <t>Date</t>
  </si>
  <si>
    <t>StartTime</t>
  </si>
  <si>
    <t>EndTime</t>
  </si>
  <si>
    <t>Duration</t>
  </si>
  <si>
    <t>TeamA_P1</t>
  </si>
  <si>
    <t>TeamA_P2</t>
  </si>
  <si>
    <t>TeamB_P1</t>
  </si>
  <si>
    <t>TeamB_P2</t>
  </si>
  <si>
    <t>ScoreA</t>
  </si>
  <si>
    <t>ScoreB</t>
  </si>
  <si>
    <t>Winner</t>
  </si>
  <si>
    <t>Notes</t>
  </si>
  <si>
    <t>LX</t>
  </si>
  <si>
    <t>VM</t>
  </si>
  <si>
    <t>MN</t>
  </si>
  <si>
    <t>ML</t>
  </si>
  <si>
    <t>SetNo</t>
  </si>
  <si>
    <t>RevolutionID</t>
  </si>
  <si>
    <t>R20251201-1</t>
  </si>
  <si>
    <t>R20251215-1</t>
  </si>
  <si>
    <t>R20251229-1</t>
  </si>
  <si>
    <t>R20251229-2</t>
  </si>
  <si>
    <t>R20260105-1</t>
  </si>
  <si>
    <t>R20260105-2</t>
  </si>
  <si>
    <t>R20260112-1</t>
  </si>
  <si>
    <t>R20260112-2</t>
  </si>
  <si>
    <t>R20260119-1</t>
  </si>
  <si>
    <t>R20260119-2</t>
  </si>
  <si>
    <t>R20260127-1</t>
  </si>
  <si>
    <t>R20260127-2</t>
  </si>
  <si>
    <t>R20260127-3</t>
  </si>
  <si>
    <t>R20260203-1</t>
  </si>
  <si>
    <t>R20260203-2</t>
  </si>
  <si>
    <t>R20260203-3</t>
  </si>
  <si>
    <t>30m</t>
  </si>
  <si>
    <t>50m</t>
  </si>
  <si>
    <t>45m</t>
  </si>
  <si>
    <t>35m</t>
  </si>
  <si>
    <t>70m</t>
  </si>
  <si>
    <t>55m</t>
  </si>
  <si>
    <t>40m</t>
  </si>
  <si>
    <t>Initial</t>
  </si>
  <si>
    <t>Name</t>
  </si>
  <si>
    <t>Lewei Xu</t>
  </si>
  <si>
    <t>Revolutions Won</t>
  </si>
  <si>
    <t>Matches Won</t>
  </si>
  <si>
    <t>Total Stone Given</t>
  </si>
  <si>
    <t>Total Score</t>
  </si>
  <si>
    <t>R20260216-1</t>
  </si>
  <si>
    <t>R20260216-2</t>
  </si>
  <si>
    <t>R20260216-3</t>
  </si>
  <si>
    <t>Incomplete revolution (2 sets only)</t>
  </si>
  <si>
    <t>R20260312-1</t>
  </si>
  <si>
    <t>R20260318-1</t>
  </si>
  <si>
    <t>R20260318-2</t>
  </si>
  <si>
    <t>R20260318-3</t>
  </si>
  <si>
    <t>Carry over from 12/3</t>
  </si>
  <si>
    <t>V2 sneezed too much</t>
  </si>
  <si>
    <t>Marc Labouchardiere</t>
  </si>
  <si>
    <t>Matthew Ng</t>
  </si>
  <si>
    <t>Vithusayan Mokhanarajah</t>
  </si>
  <si>
    <t>R20260403-1</t>
  </si>
  <si>
    <t>R20260403-2</t>
  </si>
  <si>
    <t>MN 250, PCC</t>
  </si>
  <si>
    <t>Last row</t>
  </si>
  <si>
    <t>R20260406-1</t>
  </si>
  <si>
    <t>R20260406-2</t>
  </si>
  <si>
    <t>250 CAPS</t>
  </si>
  <si>
    <t>SetID</t>
  </si>
  <si>
    <t>Win</t>
  </si>
  <si>
    <t>seq</t>
  </si>
  <si>
    <t>player</t>
  </si>
  <si>
    <t>bet_tier</t>
  </si>
  <si>
    <t>outcome</t>
  </si>
  <si>
    <t>caps</t>
  </si>
  <si>
    <t>stone_bonus</t>
  </si>
  <si>
    <t>stones_delta</t>
  </si>
  <si>
    <t>R20260318-1-1</t>
  </si>
  <si>
    <t>2/3</t>
  </si>
  <si>
    <t>1/2</t>
  </si>
  <si>
    <t>penalty</t>
  </si>
  <si>
    <t>W</t>
  </si>
  <si>
    <t>L</t>
  </si>
  <si>
    <t>R20260318-1-2</t>
  </si>
  <si>
    <t>R20260318-1-3</t>
  </si>
  <si>
    <t>notes</t>
  </si>
  <si>
    <t>3/4</t>
  </si>
  <si>
    <t>Late</t>
  </si>
  <si>
    <t>V2 late caps on Lewei</t>
  </si>
  <si>
    <t>R20260318-2-1</t>
  </si>
  <si>
    <t>R20260318-2-2</t>
  </si>
  <si>
    <t>R20260318-2-3</t>
  </si>
  <si>
    <t>R20260318-3-1</t>
  </si>
  <si>
    <t>R20260318-3-2</t>
  </si>
  <si>
    <t>R20260303-3-1</t>
  </si>
  <si>
    <t>Wrong</t>
  </si>
  <si>
    <t>R20260303-3-2</t>
  </si>
  <si>
    <t>R20260303-3-3</t>
  </si>
  <si>
    <t>R20260427-1</t>
  </si>
  <si>
    <t>R20260427-2</t>
  </si>
  <si>
    <t>R20260529-1</t>
  </si>
  <si>
    <t>SEASON 2 START</t>
  </si>
  <si>
    <t>R20260725-1</t>
  </si>
  <si>
    <t>R20260903-1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</si>
</sst>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20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1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F285D60-1076-4165-80CE-C9172A156F72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zoomScale="190" zoomScaleNormal="190" workbookViewId="0">
      <pane ySplit="1" topLeftCell="A11" activePane="bottomLeft" state="frozen"/>
      <selection pane="bottomLeft" activeCell="L33" sqref="L33"/>
    </sheetView>
  </sheetViews>
  <sheetFormatPr defaultRowHeight="14.5" x14ac:dyDescent="0.35"/>
  <cols>
    <col min="1" max="1" width="18.90625" customWidth="1"/>
    <col min="2" max="2" width="11.81640625" style="1" customWidth="1"/>
    <col min="3" max="3" width="12.90625" style="2" customWidth="1"/>
    <col min="4" max="4" width="11.26953125" style="2" bestFit="1" customWidth="1"/>
    <col min="5" max="5" width="12.36328125" style="3" customWidth="1"/>
    <col min="6" max="6" width="11.90625" customWidth="1"/>
    <col min="7" max="7" width="6.81640625" customWidth="1"/>
    <col min="8" max="8" width="12.08984375" customWidth="1"/>
    <col min="9" max="9" width="7.08984375" customWidth="1"/>
    <col min="10" max="10" width="20.7265625" customWidth="1"/>
  </cols>
  <sheetData>
    <row r="1" spans="1:10" x14ac:dyDescent="0.35">
      <c r="A1" t="s">
        <v>17</v>
      </c>
      <c r="B1" s="1" t="s">
        <v>0</v>
      </c>
      <c r="C1" s="2" t="s">
        <v>1</v>
      </c>
      <c r="D1" s="2" t="s">
        <v>2</v>
      </c>
      <c r="E1" s="3" t="s">
        <v>3</v>
      </c>
      <c r="F1" t="s">
        <v>12</v>
      </c>
      <c r="G1" t="s">
        <v>15</v>
      </c>
      <c r="H1" t="s">
        <v>14</v>
      </c>
      <c r="I1" t="s">
        <v>13</v>
      </c>
      <c r="J1" t="s">
        <v>11</v>
      </c>
    </row>
    <row r="2" spans="1:10" x14ac:dyDescent="0.35">
      <c r="A2" t="str">
        <f>"R"&amp;TEXT(B2,"yyyymmdd")&amp;"-"&amp;COUNTIFS($B:$B,B2,$C:$C,"&lt;="&amp;C2)</f>
        <v>R20251201-1</v>
      </c>
      <c r="B2" s="1">
        <v>45992</v>
      </c>
      <c r="C2" s="2">
        <v>0.8125</v>
      </c>
      <c r="D2" s="2">
        <v>0.9375</v>
      </c>
      <c r="E2" s="3">
        <f>MOD(D2 - C2, 1)</f>
        <v>0.125</v>
      </c>
      <c r="F2" t="str" cm="1">
        <f t="array" ref="F2">COUNTIFS(
 Matches!$A$2:$A$200,$A2,
 Matches!$I$2:$I$200,"*"&amp;F$1&amp;"*"
)
&amp;" ("&amp;
SUMPRODUCT(
 (Matches!$A$2:$A$200=$A2) *
 ((Matches!$C$2:$C$200=F$1)+(Matches!$D$2:$D$200=F$1)) *
 Matches!$G$2:$G$200
)
+
SUMPRODUCT(
 (Matches!$A$2:$A$200=$A2) *
 ((Matches!$E$2:$E$200=F$1)+(Matches!$F$2:$F$200=F$1)) *
 Matches!$H$2:$H$200
)
&amp;")"</f>
        <v>2 (26)</v>
      </c>
      <c r="G2" t="str" cm="1">
        <f t="array" ref="G2">COUNTIFS(
 Matches!$A$2:$A$200,$A2,
 Matches!$I$2:$I$200,"*"&amp;G$1&amp;"*"
)
&amp;" ("&amp;
SUMPRODUCT(
 (Matches!$A$2:$A$200=$A2) *
 ((Matches!$C$2:$C$200=G$1)+(Matches!$D$2:$D$200=G$1)) *
 Matches!$G$2:$G$200
)
+
SUMPRODUCT(
 (Matches!$A$2:$A$200=$A2) *
 ((Matches!$E$2:$E$200=G$1)+(Matches!$F$2:$F$200=G$1)) *
 Matches!$H$2:$H$200
)
&amp;")"</f>
        <v>2 (25)</v>
      </c>
      <c r="H2" t="str" cm="1">
        <f t="array" ref="H2">COUNTIFS(
 Matches!$A$2:$A$200,$A2,
 Matches!$I$2:$I$200,"*"&amp;H$1&amp;"*"
)
&amp;" ("&amp;
SUMPRODUCT(
 (Matches!$A$2:$A$200=$A2) *
 ((Matches!$C$2:$C$200=H$1)+(Matches!$D$2:$D$200=H$1)) *
 Matches!$G$2:$G$200
)
+
SUMPRODUCT(
 (Matches!$A$2:$A$200=$A2) *
 ((Matches!$E$2:$E$200=H$1)+(Matches!$F$2:$F$200=H$1)) *
 Matches!$H$2:$H$200
)
&amp;")"</f>
        <v>2 (23)</v>
      </c>
      <c r="I2" t="str" cm="1">
        <f t="array" ref="I2">COUNTIFS(
 Matches!$A$2:$A$200,$A2,
 Matches!$I$2:$I$200,"*"&amp;I$1&amp;"*"
)
&amp;" ("&amp;
SUMPRODUCT(
 (Matches!$A$2:$A$200=$A2) *
 ((Matches!$C$2:$C$200=I$1)+(Matches!$D$2:$D$200=I$1)) *
 Matches!$G$2:$G$200
)
+
SUMPRODUCT(
 (Matches!$A$2:$A$200=$A2) *
 ((Matches!$E$2:$E$200=I$1)+(Matches!$F$2:$F$200=I$1)) *
 Matches!$H$2:$H$200
)
&amp;")"</f>
        <v>0 (14)</v>
      </c>
    </row>
    <row r="3" spans="1:10" x14ac:dyDescent="0.35">
      <c r="A3" t="str">
        <f t="shared" ref="A3:A17" si="0">"R"&amp;TEXT(B3,"yyyymmdd")&amp;"-"&amp;COUNTIFS($B:$B,B3,$C:$C,"&lt;="&amp;C3)</f>
        <v>R20251215-1</v>
      </c>
      <c r="B3" s="1">
        <v>46006</v>
      </c>
      <c r="C3" s="2">
        <v>0.6875</v>
      </c>
      <c r="D3" s="2">
        <v>0.85416666666666663</v>
      </c>
      <c r="E3" s="3">
        <f t="shared" ref="E3:E32" si="1">MOD(D3 - C3, 1)</f>
        <v>0.16666666666666663</v>
      </c>
      <c r="F3" t="str" cm="1">
        <f t="array" ref="F3">COUNTIFS(
 Matches!$A$2:$A$200,$A3,
 Matches!$I$2:$I$200,"*"&amp;F$1&amp;"*"
)
&amp;" ("&amp;
SUMPRODUCT(
 (Matches!$A$2:$A$200=$A3) *
 ((Matches!$C$2:$C$200=F$1)+(Matches!$D$2:$D$200=F$1)) *
 Matches!$G$2:$G$200
)
+
SUMPRODUCT(
 (Matches!$A$2:$A$200=$A3) *
 ((Matches!$E$2:$E$200=F$1)+(Matches!$F$2:$F$200=F$1)) *
 Matches!$H$2:$H$200
)
&amp;")"</f>
        <v>1 (22)</v>
      </c>
      <c r="G3" t="str" cm="1">
        <f t="array" ref="G3">COUNTIFS(
 Matches!$A$2:$A$200,$A3,
 Matches!$I$2:$I$200,"*"&amp;G$1&amp;"*"
)
&amp;" ("&amp;
SUMPRODUCT(
 (Matches!$A$2:$A$200=$A3) *
 ((Matches!$C$2:$C$200=G$1)+(Matches!$D$2:$D$200=G$1)) *
 Matches!$G$2:$G$200
)
+
SUMPRODUCT(
 (Matches!$A$2:$A$200=$A3) *
 ((Matches!$E$2:$E$200=G$1)+(Matches!$F$2:$F$200=G$1)) *
 Matches!$H$2:$H$200
)
&amp;")"</f>
        <v>3 (30)</v>
      </c>
      <c r="H3" t="str" cm="1">
        <f t="array" ref="H3">COUNTIFS(
 Matches!$A$2:$A$200,$A3,
 Matches!$I$2:$I$200,"*"&amp;H$1&amp;"*"
)
&amp;" ("&amp;
SUMPRODUCT(
 (Matches!$A$2:$A$200=$A3) *
 ((Matches!$C$2:$C$200=H$1)+(Matches!$D$2:$D$200=H$1)) *
 Matches!$G$2:$G$200
)
+
SUMPRODUCT(
 (Matches!$A$2:$A$200=$A3) *
 ((Matches!$E$2:$E$200=H$1)+(Matches!$F$2:$F$200=H$1)) *
 Matches!$H$2:$H$200
)
&amp;")"</f>
        <v>1 (22)</v>
      </c>
      <c r="I3" t="str" cm="1">
        <f t="array" ref="I3">COUNTIFS(
 Matches!$A$2:$A$200,$A3,
 Matches!$I$2:$I$200,"*"&amp;I$1&amp;"*"
)
&amp;" ("&amp;
SUMPRODUCT(
 (Matches!$A$2:$A$200=$A3) *
 ((Matches!$C$2:$C$200=I$1)+(Matches!$D$2:$D$200=I$1)) *
 Matches!$G$2:$G$200
)
+
SUMPRODUCT(
 (Matches!$A$2:$A$200=$A3) *
 ((Matches!$E$2:$E$200=I$1)+(Matches!$F$2:$F$200=I$1)) *
 Matches!$H$2:$H$200
)
&amp;")"</f>
        <v>1 (28)</v>
      </c>
    </row>
    <row r="4" spans="1:10" x14ac:dyDescent="0.35">
      <c r="A4" t="str">
        <f t="shared" si="0"/>
        <v>R20251229-1</v>
      </c>
      <c r="B4" s="1">
        <v>46020</v>
      </c>
      <c r="C4" s="2">
        <v>0.54166666666666663</v>
      </c>
      <c r="D4" s="2">
        <v>0.66666666666666663</v>
      </c>
      <c r="E4" s="3">
        <f t="shared" si="1"/>
        <v>0.125</v>
      </c>
      <c r="F4" t="str" cm="1">
        <f t="array" ref="F4">COUNTIFS(
 Matches!$A$2:$A$200,$A4,
 Matches!$I$2:$I$200,"*"&amp;F$1&amp;"*"
)
&amp;" ("&amp;
SUMPRODUCT(
 (Matches!$A$2:$A$200=$A4) *
 ((Matches!$C$2:$C$200=F$1)+(Matches!$D$2:$D$200=F$1)) *
 Matches!$G$2:$G$200
)
+
SUMPRODUCT(
 (Matches!$A$2:$A$200=$A4) *
 ((Matches!$E$2:$E$200=F$1)+(Matches!$F$2:$F$200=F$1)) *
 Matches!$H$2:$H$200
)
&amp;")"</f>
        <v>0 (17)</v>
      </c>
      <c r="G4" t="str" cm="1">
        <f t="array" ref="G4">COUNTIFS(
 Matches!$A$2:$A$200,$A4,
 Matches!$I$2:$I$200,"*"&amp;G$1&amp;"*"
)
&amp;" ("&amp;
SUMPRODUCT(
 (Matches!$A$2:$A$200=$A4) *
 ((Matches!$C$2:$C$200=G$1)+(Matches!$D$2:$D$200=G$1)) *
 Matches!$G$2:$G$200
)
+
SUMPRODUCT(
 (Matches!$A$2:$A$200=$A4) *
 ((Matches!$E$2:$E$200=G$1)+(Matches!$F$2:$F$200=G$1)) *
 Matches!$H$2:$H$200
)
&amp;")"</f>
        <v>2 (22)</v>
      </c>
      <c r="H4" t="str" cm="1">
        <f t="array" ref="H4">COUNTIFS(
 Matches!$A$2:$A$200,$A4,
 Matches!$I$2:$I$200,"*"&amp;H$1&amp;"*"
)
&amp;" ("&amp;
SUMPRODUCT(
 (Matches!$A$2:$A$200=$A4) *
 ((Matches!$C$2:$C$200=H$1)+(Matches!$D$2:$D$200=H$1)) *
 Matches!$G$2:$G$200
)
+
SUMPRODUCT(
 (Matches!$A$2:$A$200=$A4) *
 ((Matches!$E$2:$E$200=H$1)+(Matches!$F$2:$F$200=H$1)) *
 Matches!$H$2:$H$200
)
&amp;")"</f>
        <v>2 (29)</v>
      </c>
      <c r="I4" t="str" cm="1">
        <f t="array" ref="I4">COUNTIFS(
 Matches!$A$2:$A$200,$A4,
 Matches!$I$2:$I$200,"*"&amp;I$1&amp;"*"
)
&amp;" ("&amp;
SUMPRODUCT(
 (Matches!$A$2:$A$200=$A4) *
 ((Matches!$C$2:$C$200=I$1)+(Matches!$D$2:$D$200=I$1)) *
 Matches!$G$2:$G$200
)
+
SUMPRODUCT(
 (Matches!$A$2:$A$200=$A4) *
 ((Matches!$E$2:$E$200=I$1)+(Matches!$F$2:$F$200=I$1)) *
 Matches!$H$2:$H$200
)
&amp;")"</f>
        <v>2 (26)</v>
      </c>
    </row>
    <row r="5" spans="1:10" x14ac:dyDescent="0.35">
      <c r="A5" t="str">
        <f t="shared" si="0"/>
        <v>R20251229-2</v>
      </c>
      <c r="B5" s="1">
        <v>46020</v>
      </c>
      <c r="C5" s="2">
        <v>0.66666666666666663</v>
      </c>
      <c r="D5" s="2">
        <v>0</v>
      </c>
      <c r="E5" s="3">
        <f t="shared" si="1"/>
        <v>0.33333333333333337</v>
      </c>
      <c r="F5" t="str" cm="1">
        <f t="array" ref="F5">COUNTIFS(
 Matches!$A$2:$A$200,$A5,
 Matches!$I$2:$I$200,"*"&amp;F$1&amp;"*"
)
&amp;" ("&amp;
SUMPRODUCT(
 (Matches!$A$2:$A$200=$A5) *
 ((Matches!$C$2:$C$200=F$1)+(Matches!$D$2:$D$200=F$1)) *
 Matches!$G$2:$G$200
)
+
SUMPRODUCT(
 (Matches!$A$2:$A$200=$A5) *
 ((Matches!$E$2:$E$200=F$1)+(Matches!$F$2:$F$200=F$1)) *
 Matches!$H$2:$H$200
)
&amp;")"</f>
        <v>2 (29)</v>
      </c>
      <c r="G5" t="str" cm="1">
        <f t="array" ref="G5">COUNTIFS(
 Matches!$A$2:$A$200,$A5,
 Matches!$I$2:$I$200,"*"&amp;G$1&amp;"*"
)
&amp;" ("&amp;
SUMPRODUCT(
 (Matches!$A$2:$A$200=$A5) *
 ((Matches!$C$2:$C$200=G$1)+(Matches!$D$2:$D$200=G$1)) *
 Matches!$G$2:$G$200
)
+
SUMPRODUCT(
 (Matches!$A$2:$A$200=$A5) *
 ((Matches!$E$2:$E$200=G$1)+(Matches!$F$2:$F$200=G$1)) *
 Matches!$H$2:$H$200
)
&amp;")"</f>
        <v>2 (25)</v>
      </c>
      <c r="H5" t="str" cm="1">
        <f t="array" ref="H5">COUNTIFS(
 Matches!$A$2:$A$200,$A5,
 Matches!$I$2:$I$200,"*"&amp;H$1&amp;"*"
)
&amp;" ("&amp;
SUMPRODUCT(
 (Matches!$A$2:$A$200=$A5) *
 ((Matches!$C$2:$C$200=H$1)+(Matches!$D$2:$D$200=H$1)) *
 Matches!$G$2:$G$200
)
+
SUMPRODUCT(
 (Matches!$A$2:$A$200=$A5) *
 ((Matches!$E$2:$E$200=H$1)+(Matches!$F$2:$F$200=H$1)) *
 Matches!$H$2:$H$200
)
&amp;")"</f>
        <v>2 (26)</v>
      </c>
      <c r="I5" t="str" cm="1">
        <f t="array" ref="I5">COUNTIFS(
 Matches!$A$2:$A$200,$A5,
 Matches!$I$2:$I$200,"*"&amp;I$1&amp;"*"
)
&amp;" ("&amp;
SUMPRODUCT(
 (Matches!$A$2:$A$200=$A5) *
 ((Matches!$C$2:$C$200=I$1)+(Matches!$D$2:$D$200=I$1)) *
 Matches!$G$2:$G$200
)
+
SUMPRODUCT(
 (Matches!$A$2:$A$200=$A5) *
 ((Matches!$E$2:$E$200=I$1)+(Matches!$F$2:$F$200=I$1)) *
 Matches!$H$2:$H$200
)
&amp;")"</f>
        <v>0 (20)</v>
      </c>
    </row>
    <row r="6" spans="1:10" x14ac:dyDescent="0.35">
      <c r="A6" t="str">
        <f t="shared" si="0"/>
        <v>R20260105-1</v>
      </c>
      <c r="B6" s="1">
        <v>46027</v>
      </c>
      <c r="C6" s="2">
        <v>0.64583333333333337</v>
      </c>
      <c r="D6" s="2">
        <v>0.75</v>
      </c>
      <c r="E6" s="3">
        <f t="shared" si="1"/>
        <v>0.10416666666666663</v>
      </c>
      <c r="F6" t="str" cm="1">
        <f t="array" ref="F6">COUNTIFS(
 Matches!$A$2:$A$200,$A6,
 Matches!$I$2:$I$200,"*"&amp;F$1&amp;"*"
)
&amp;" ("&amp;
SUMPRODUCT(
 (Matches!$A$2:$A$200=$A6) *
 ((Matches!$C$2:$C$200=F$1)+(Matches!$D$2:$D$200=F$1)) *
 Matches!$G$2:$G$200
)
+
SUMPRODUCT(
 (Matches!$A$2:$A$200=$A6) *
 ((Matches!$E$2:$E$200=F$1)+(Matches!$F$2:$F$200=F$1)) *
 Matches!$H$2:$H$200
)
&amp;")"</f>
        <v>2 (22)</v>
      </c>
      <c r="G6" t="str" cm="1">
        <f t="array" ref="G6">COUNTIFS(
 Matches!$A$2:$A$200,$A6,
 Matches!$I$2:$I$200,"*"&amp;G$1&amp;"*"
)
&amp;" ("&amp;
SUMPRODUCT(
 (Matches!$A$2:$A$200=$A6) *
 ((Matches!$C$2:$C$200=G$1)+(Matches!$D$2:$D$200=G$1)) *
 Matches!$G$2:$G$200
)
+
SUMPRODUCT(
 (Matches!$A$2:$A$200=$A6) *
 ((Matches!$E$2:$E$200=G$1)+(Matches!$F$2:$F$200=G$1)) *
 Matches!$H$2:$H$200
)
&amp;")"</f>
        <v>2 (26)</v>
      </c>
      <c r="H6" t="str" cm="1">
        <f t="array" ref="H6">COUNTIFS(
 Matches!$A$2:$A$200,$A6,
 Matches!$I$2:$I$200,"*"&amp;H$1&amp;"*"
)
&amp;" ("&amp;
SUMPRODUCT(
 (Matches!$A$2:$A$200=$A6) *
 ((Matches!$C$2:$C$200=H$1)+(Matches!$D$2:$D$200=H$1)) *
 Matches!$G$2:$G$200
)
+
SUMPRODUCT(
 (Matches!$A$2:$A$200=$A6) *
 ((Matches!$E$2:$E$200=H$1)+(Matches!$F$2:$F$200=H$1)) *
 Matches!$H$2:$H$200
)
&amp;")"</f>
        <v>2 (25)</v>
      </c>
      <c r="I6" t="str" cm="1">
        <f t="array" ref="I6">COUNTIFS(
 Matches!$A$2:$A$200,$A6,
 Matches!$I$2:$I$200,"*"&amp;I$1&amp;"*"
)
&amp;" ("&amp;
SUMPRODUCT(
 (Matches!$A$2:$A$200=$A6) *
 ((Matches!$C$2:$C$200=I$1)+(Matches!$D$2:$D$200=I$1)) *
 Matches!$G$2:$G$200
)
+
SUMPRODUCT(
 (Matches!$A$2:$A$200=$A6) *
 ((Matches!$E$2:$E$200=I$1)+(Matches!$F$2:$F$200=I$1)) *
 Matches!$H$2:$H$200
)
&amp;")"</f>
        <v>0 (13)</v>
      </c>
    </row>
    <row r="7" spans="1:10" x14ac:dyDescent="0.35">
      <c r="A7" t="str">
        <f t="shared" si="0"/>
        <v>R20260105-2</v>
      </c>
      <c r="B7" s="1">
        <v>46027</v>
      </c>
      <c r="C7" s="2">
        <v>0.79166666666666663</v>
      </c>
      <c r="D7" s="2">
        <v>0.875</v>
      </c>
      <c r="E7" s="3">
        <f t="shared" si="1"/>
        <v>8.333333333333337E-2</v>
      </c>
      <c r="F7" t="str" cm="1">
        <f t="array" ref="F7">COUNTIFS(
 Matches!$A$2:$A$200,$A7,
 Matches!$I$2:$I$200,"*"&amp;F$1&amp;"*"
)
&amp;" ("&amp;
SUMPRODUCT(
 (Matches!$A$2:$A$200=$A7) *
 ((Matches!$C$2:$C$200=F$1)+(Matches!$D$2:$D$200=F$1)) *
 Matches!$G$2:$G$200
)
+
SUMPRODUCT(
 (Matches!$A$2:$A$200=$A7) *
 ((Matches!$E$2:$E$200=F$1)+(Matches!$F$2:$F$200=F$1)) *
 Matches!$H$2:$H$200
)
&amp;")"</f>
        <v>2 (24)</v>
      </c>
      <c r="G7" t="str" cm="1">
        <f t="array" ref="G7">COUNTIFS(
 Matches!$A$2:$A$200,$A7,
 Matches!$I$2:$I$200,"*"&amp;G$1&amp;"*"
)
&amp;" ("&amp;
SUMPRODUCT(
 (Matches!$A$2:$A$200=$A7) *
 ((Matches!$C$2:$C$200=G$1)+(Matches!$D$2:$D$200=G$1)) *
 Matches!$G$2:$G$200
)
+
SUMPRODUCT(
 (Matches!$A$2:$A$200=$A7) *
 ((Matches!$E$2:$E$200=G$1)+(Matches!$F$2:$F$200=G$1)) *
 Matches!$H$2:$H$200
)
&amp;")"</f>
        <v>0 (12)</v>
      </c>
      <c r="H7" t="str" cm="1">
        <f t="array" ref="H7">COUNTIFS(
 Matches!$A$2:$A$200,$A7,
 Matches!$I$2:$I$200,"*"&amp;H$1&amp;"*"
)
&amp;" ("&amp;
SUMPRODUCT(
 (Matches!$A$2:$A$200=$A7) *
 ((Matches!$C$2:$C$200=H$1)+(Matches!$D$2:$D$200=H$1)) *
 Matches!$G$2:$G$200
)
+
SUMPRODUCT(
 (Matches!$A$2:$A$200=$A7) *
 ((Matches!$E$2:$E$200=H$1)+(Matches!$F$2:$F$200=H$1)) *
 Matches!$H$2:$H$200
)
&amp;")"</f>
        <v>2 (26)</v>
      </c>
      <c r="I7" t="str" cm="1">
        <f t="array" ref="I7">COUNTIFS(
 Matches!$A$2:$A$200,$A7,
 Matches!$I$2:$I$200,"*"&amp;I$1&amp;"*"
)
&amp;" ("&amp;
SUMPRODUCT(
 (Matches!$A$2:$A$200=$A7) *
 ((Matches!$C$2:$C$200=I$1)+(Matches!$D$2:$D$200=I$1)) *
 Matches!$G$2:$G$200
)
+
SUMPRODUCT(
 (Matches!$A$2:$A$200=$A7) *
 ((Matches!$E$2:$E$200=I$1)+(Matches!$F$2:$F$200=I$1)) *
 Matches!$H$2:$H$200
)
&amp;")"</f>
        <v>2 (22)</v>
      </c>
    </row>
    <row r="8" spans="1:10" x14ac:dyDescent="0.35">
      <c r="A8" t="str">
        <f t="shared" si="0"/>
        <v>R20260112-1</v>
      </c>
      <c r="B8" s="1">
        <v>46034</v>
      </c>
      <c r="C8" s="2">
        <v>0.61458333333333337</v>
      </c>
      <c r="D8" s="2">
        <v>0.73958333333333337</v>
      </c>
      <c r="E8" s="3">
        <f t="shared" si="1"/>
        <v>0.125</v>
      </c>
      <c r="F8" t="str" cm="1">
        <f t="array" ref="F8">COUNTIFS(
 Matches!$A$2:$A$200,$A8,
 Matches!$I$2:$I$200,"*"&amp;F$1&amp;"*"
)
&amp;" ("&amp;
SUMPRODUCT(
 (Matches!$A$2:$A$200=$A8) *
 ((Matches!$C$2:$C$200=F$1)+(Matches!$D$2:$D$200=F$1)) *
 Matches!$G$2:$G$200
)
+
SUMPRODUCT(
 (Matches!$A$2:$A$200=$A8) *
 ((Matches!$E$2:$E$200=F$1)+(Matches!$F$2:$F$200=F$1)) *
 Matches!$H$2:$H$200
)
&amp;")"</f>
        <v>2 (27)</v>
      </c>
      <c r="G8" t="str" cm="1">
        <f t="array" ref="G8">COUNTIFS(
 Matches!$A$2:$A$200,$A8,
 Matches!$I$2:$I$200,"*"&amp;G$1&amp;"*"
)
&amp;" ("&amp;
SUMPRODUCT(
 (Matches!$A$2:$A$200=$A8) *
 ((Matches!$C$2:$C$200=G$1)+(Matches!$D$2:$D$200=G$1)) *
 Matches!$G$2:$G$200
)
+
SUMPRODUCT(
 (Matches!$A$2:$A$200=$A8) *
 ((Matches!$E$2:$E$200=G$1)+(Matches!$F$2:$F$200=G$1)) *
 Matches!$H$2:$H$200
)
&amp;")"</f>
        <v>2 (27)</v>
      </c>
      <c r="H8" t="str" cm="1">
        <f t="array" ref="H8">COUNTIFS(
 Matches!$A$2:$A$200,$A8,
 Matches!$I$2:$I$200,"*"&amp;H$1&amp;"*"
)
&amp;" ("&amp;
SUMPRODUCT(
 (Matches!$A$2:$A$200=$A8) *
 ((Matches!$C$2:$C$200=H$1)+(Matches!$D$2:$D$200=H$1)) *
 Matches!$G$2:$G$200
)
+
SUMPRODUCT(
 (Matches!$A$2:$A$200=$A8) *
 ((Matches!$E$2:$E$200=H$1)+(Matches!$F$2:$F$200=H$1)) *
 Matches!$H$2:$H$200
)
&amp;")"</f>
        <v>2 (26)</v>
      </c>
      <c r="I8" t="str" cm="1">
        <f t="array" ref="I8">COUNTIFS(
 Matches!$A$2:$A$200,$A8,
 Matches!$I$2:$I$200,"*"&amp;I$1&amp;"*"
)
&amp;" ("&amp;
SUMPRODUCT(
 (Matches!$A$2:$A$200=$A8) *
 ((Matches!$C$2:$C$200=I$1)+(Matches!$D$2:$D$200=I$1)) *
 Matches!$G$2:$G$200
)
+
SUMPRODUCT(
 (Matches!$A$2:$A$200=$A8) *
 ((Matches!$E$2:$E$200=I$1)+(Matches!$F$2:$F$200=I$1)) *
 Matches!$H$2:$H$200
)
&amp;")"</f>
        <v>0 (20)</v>
      </c>
    </row>
    <row r="9" spans="1:10" x14ac:dyDescent="0.35">
      <c r="A9" t="str">
        <f t="shared" si="0"/>
        <v>R20260112-2</v>
      </c>
      <c r="B9" s="1">
        <v>46034</v>
      </c>
      <c r="C9" s="2">
        <v>0.83333333333333337</v>
      </c>
      <c r="D9" s="2">
        <v>0.91666666666666663</v>
      </c>
      <c r="E9" s="3">
        <f t="shared" si="1"/>
        <v>8.3333333333333259E-2</v>
      </c>
      <c r="F9" t="str" cm="1">
        <f t="array" ref="F9">COUNTIFS(
 Matches!$A$2:$A$200,$A9,
 Matches!$I$2:$I$200,"*"&amp;F$1&amp;"*"
)
&amp;" ("&amp;
SUMPRODUCT(
 (Matches!$A$2:$A$200=$A9) *
 ((Matches!$C$2:$C$200=F$1)+(Matches!$D$2:$D$200=F$1)) *
 Matches!$G$2:$G$200
)
+
SUMPRODUCT(
 (Matches!$A$2:$A$200=$A9) *
 ((Matches!$E$2:$E$200=F$1)+(Matches!$F$2:$F$200=F$1)) *
 Matches!$H$2:$H$200
)
&amp;")"</f>
        <v>2 (20)</v>
      </c>
      <c r="G9" t="str" cm="1">
        <f t="array" ref="G9">COUNTIFS(
 Matches!$A$2:$A$200,$A9,
 Matches!$I$2:$I$200,"*"&amp;G$1&amp;"*"
)
&amp;" ("&amp;
SUMPRODUCT(
 (Matches!$A$2:$A$200=$A9) *
 ((Matches!$C$2:$C$200=G$1)+(Matches!$D$2:$D$200=G$1)) *
 Matches!$G$2:$G$200
)
+
SUMPRODUCT(
 (Matches!$A$2:$A$200=$A9) *
 ((Matches!$E$2:$E$200=G$1)+(Matches!$F$2:$F$200=G$1)) *
 Matches!$H$2:$H$200
)
&amp;")"</f>
        <v>2 (22)</v>
      </c>
      <c r="H9" t="str" cm="1">
        <f t="array" ref="H9">COUNTIFS(
 Matches!$A$2:$A$200,$A9,
 Matches!$I$2:$I$200,"*"&amp;H$1&amp;"*"
)
&amp;" ("&amp;
SUMPRODUCT(
 (Matches!$A$2:$A$200=$A9) *
 ((Matches!$C$2:$C$200=H$1)+(Matches!$D$2:$D$200=H$1)) *
 Matches!$G$2:$G$200
)
+
SUMPRODUCT(
 (Matches!$A$2:$A$200=$A9) *
 ((Matches!$E$2:$E$200=H$1)+(Matches!$F$2:$F$200=H$1)) *
 Matches!$H$2:$H$200
)
&amp;")"</f>
        <v>2 (28)</v>
      </c>
      <c r="I9" t="str" cm="1">
        <f t="array" ref="I9">COUNTIFS(
 Matches!$A$2:$A$200,$A9,
 Matches!$I$2:$I$200,"*"&amp;I$1&amp;"*"
)
&amp;" ("&amp;
SUMPRODUCT(
 (Matches!$A$2:$A$200=$A9) *
 ((Matches!$C$2:$C$200=I$1)+(Matches!$D$2:$D$200=I$1)) *
 Matches!$G$2:$G$200
)
+
SUMPRODUCT(
 (Matches!$A$2:$A$200=$A9) *
 ((Matches!$E$2:$E$200=I$1)+(Matches!$F$2:$F$200=I$1)) *
 Matches!$H$2:$H$200
)
&amp;")"</f>
        <v>0 (10)</v>
      </c>
    </row>
    <row r="10" spans="1:10" x14ac:dyDescent="0.35">
      <c r="A10" t="str">
        <f t="shared" si="0"/>
        <v>R20260119-1</v>
      </c>
      <c r="B10" s="1">
        <v>46041</v>
      </c>
      <c r="C10" s="2">
        <v>0.58333333333333337</v>
      </c>
      <c r="D10" s="2">
        <v>0.67708333333333337</v>
      </c>
      <c r="E10" s="3">
        <f t="shared" si="1"/>
        <v>9.375E-2</v>
      </c>
      <c r="F10" t="str" cm="1">
        <f t="array" ref="F10">COUNTIFS(
 Matches!$A$2:$A$200,$A10,
 Matches!$I$2:$I$200,"*"&amp;F$1&amp;"*"
)
&amp;" ("&amp;
SUMPRODUCT(
 (Matches!$A$2:$A$200=$A10) *
 ((Matches!$C$2:$C$200=F$1)+(Matches!$D$2:$D$200=F$1)) *
 Matches!$G$2:$G$200
)
+
SUMPRODUCT(
 (Matches!$A$2:$A$200=$A10) *
 ((Matches!$E$2:$E$200=F$1)+(Matches!$F$2:$F$200=F$1)) *
 Matches!$H$2:$H$200
)
&amp;")"</f>
        <v>2 (29)</v>
      </c>
      <c r="G10" t="str" cm="1">
        <f t="array" ref="G10">COUNTIFS(
 Matches!$A$2:$A$200,$A10,
 Matches!$I$2:$I$200,"*"&amp;G$1&amp;"*"
)
&amp;" ("&amp;
SUMPRODUCT(
 (Matches!$A$2:$A$200=$A10) *
 ((Matches!$C$2:$C$200=G$1)+(Matches!$D$2:$D$200=G$1)) *
 Matches!$G$2:$G$200
)
+
SUMPRODUCT(
 (Matches!$A$2:$A$200=$A10) *
 ((Matches!$E$2:$E$200=G$1)+(Matches!$F$2:$F$200=G$1)) *
 Matches!$H$2:$H$200
)
&amp;")"</f>
        <v>2 (22)</v>
      </c>
      <c r="H10" t="str" cm="1">
        <f t="array" ref="H10">COUNTIFS(
 Matches!$A$2:$A$200,$A10,
 Matches!$I$2:$I$200,"*"&amp;H$1&amp;"*"
)
&amp;" ("&amp;
SUMPRODUCT(
 (Matches!$A$2:$A$200=$A10) *
 ((Matches!$C$2:$C$200=H$1)+(Matches!$D$2:$D$200=H$1)) *
 Matches!$G$2:$G$200
)
+
SUMPRODUCT(
 (Matches!$A$2:$A$200=$A10) *
 ((Matches!$E$2:$E$200=H$1)+(Matches!$F$2:$F$200=H$1)) *
 Matches!$H$2:$H$200
)
&amp;")"</f>
        <v>2 (25)</v>
      </c>
      <c r="I10" t="str" cm="1">
        <f t="array" ref="I10">COUNTIFS(
 Matches!$A$2:$A$200,$A10,
 Matches!$I$2:$I$200,"*"&amp;I$1&amp;"*"
)
&amp;" ("&amp;
SUMPRODUCT(
 (Matches!$A$2:$A$200=$A10) *
 ((Matches!$C$2:$C$200=I$1)+(Matches!$D$2:$D$200=I$1)) *
 Matches!$G$2:$G$200
)
+
SUMPRODUCT(
 (Matches!$A$2:$A$200=$A10) *
 ((Matches!$E$2:$E$200=I$1)+(Matches!$F$2:$F$200=I$1)) *
 Matches!$H$2:$H$200
)
&amp;")"</f>
        <v>0 (16)</v>
      </c>
    </row>
    <row r="11" spans="1:10" x14ac:dyDescent="0.35">
      <c r="A11" t="str">
        <f t="shared" si="0"/>
        <v>R20260119-2</v>
      </c>
      <c r="B11" s="1">
        <v>46041</v>
      </c>
      <c r="C11" s="2">
        <v>0.68055555555555558</v>
      </c>
      <c r="D11" s="2">
        <v>0.77777777777777779</v>
      </c>
      <c r="E11" s="3">
        <f t="shared" si="1"/>
        <v>9.722222222222221E-2</v>
      </c>
      <c r="F11" t="str" cm="1">
        <f t="array" ref="F11">COUNTIFS(
 Matches!$A$2:$A$200,$A11,
 Matches!$I$2:$I$200,"*"&amp;F$1&amp;"*"
)
&amp;" ("&amp;
SUMPRODUCT(
 (Matches!$A$2:$A$200=$A11) *
 ((Matches!$C$2:$C$200=F$1)+(Matches!$D$2:$D$200=F$1)) *
 Matches!$G$2:$G$200
)
+
SUMPRODUCT(
 (Matches!$A$2:$A$200=$A11) *
 ((Matches!$E$2:$E$200=F$1)+(Matches!$F$2:$F$200=F$1)) *
 Matches!$H$2:$H$200
)
&amp;")"</f>
        <v>2 (28)</v>
      </c>
      <c r="G11" t="str" cm="1">
        <f t="array" ref="G11">COUNTIFS(
 Matches!$A$2:$A$200,$A11,
 Matches!$I$2:$I$200,"*"&amp;G$1&amp;"*"
)
&amp;" ("&amp;
SUMPRODUCT(
 (Matches!$A$2:$A$200=$A11) *
 ((Matches!$C$2:$C$200=G$1)+(Matches!$D$2:$D$200=G$1)) *
 Matches!$G$2:$G$200
)
+
SUMPRODUCT(
 (Matches!$A$2:$A$200=$A11) *
 ((Matches!$E$2:$E$200=G$1)+(Matches!$F$2:$F$200=G$1)) *
 Matches!$H$2:$H$200
)
&amp;")"</f>
        <v>2 (25)</v>
      </c>
      <c r="H11" t="str" cm="1">
        <f t="array" ref="H11">COUNTIFS(
 Matches!$A$2:$A$200,$A11,
 Matches!$I$2:$I$200,"*"&amp;H$1&amp;"*"
)
&amp;" ("&amp;
SUMPRODUCT(
 (Matches!$A$2:$A$200=$A11) *
 ((Matches!$C$2:$C$200=H$1)+(Matches!$D$2:$D$200=H$1)) *
 Matches!$G$2:$G$200
)
+
SUMPRODUCT(
 (Matches!$A$2:$A$200=$A11) *
 ((Matches!$E$2:$E$200=H$1)+(Matches!$F$2:$F$200=H$1)) *
 Matches!$H$2:$H$200
)
&amp;")"</f>
        <v>2 (29)</v>
      </c>
      <c r="I11" t="str" cm="1">
        <f t="array" ref="I11">COUNTIFS(
 Matches!$A$2:$A$200,$A11,
 Matches!$I$2:$I$200,"*"&amp;I$1&amp;"*"
)
&amp;" ("&amp;
SUMPRODUCT(
 (Matches!$A$2:$A$200=$A11) *
 ((Matches!$C$2:$C$200=I$1)+(Matches!$D$2:$D$200=I$1)) *
 Matches!$G$2:$G$200
)
+
SUMPRODUCT(
 (Matches!$A$2:$A$200=$A11) *
 ((Matches!$E$2:$E$200=I$1)+(Matches!$F$2:$F$200=I$1)) *
 Matches!$H$2:$H$200
)
&amp;")"</f>
        <v>0 (22)</v>
      </c>
    </row>
    <row r="12" spans="1:10" x14ac:dyDescent="0.35">
      <c r="A12" t="str">
        <f t="shared" si="0"/>
        <v>R20260127-1</v>
      </c>
      <c r="B12" s="1">
        <v>46049</v>
      </c>
      <c r="C12" s="2">
        <v>0.53125</v>
      </c>
      <c r="D12" s="2">
        <v>0.61458333333333337</v>
      </c>
      <c r="E12" s="3">
        <f t="shared" si="1"/>
        <v>8.333333333333337E-2</v>
      </c>
      <c r="F12" t="str" cm="1">
        <f t="array" ref="F12">COUNTIFS(
 Matches!$A$2:$A$200,$A12,
 Matches!$I$2:$I$200,"*"&amp;F$1&amp;"*"
)
&amp;" ("&amp;
SUMPRODUCT(
 (Matches!$A$2:$A$200=$A12) *
 ((Matches!$C$2:$C$200=F$1)+(Matches!$D$2:$D$200=F$1)) *
 Matches!$G$2:$G$200
)
+
SUMPRODUCT(
 (Matches!$A$2:$A$200=$A12) *
 ((Matches!$E$2:$E$200=F$1)+(Matches!$F$2:$F$200=F$1)) *
 Matches!$H$2:$H$200
)
&amp;")"</f>
        <v>1 (17)</v>
      </c>
      <c r="G12" t="str" cm="1">
        <f t="array" ref="G12">COUNTIFS(
 Matches!$A$2:$A$200,$A12,
 Matches!$I$2:$I$200,"*"&amp;G$1&amp;"*"
)
&amp;" ("&amp;
SUMPRODUCT(
 (Matches!$A$2:$A$200=$A12) *
 ((Matches!$C$2:$C$200=G$1)+(Matches!$D$2:$D$200=G$1)) *
 Matches!$G$2:$G$200
)
+
SUMPRODUCT(
 (Matches!$A$2:$A$200=$A12) *
 ((Matches!$E$2:$E$200=G$1)+(Matches!$F$2:$F$200=G$1)) *
 Matches!$H$2:$H$200
)
&amp;")"</f>
        <v>3 (30)</v>
      </c>
      <c r="H12" t="str" cm="1">
        <f t="array" ref="H12">COUNTIFS(
 Matches!$A$2:$A$200,$A12,
 Matches!$I$2:$I$200,"*"&amp;H$1&amp;"*"
)
&amp;" ("&amp;
SUMPRODUCT(
 (Matches!$A$2:$A$200=$A12) *
 ((Matches!$C$2:$C$200=H$1)+(Matches!$D$2:$D$200=H$1)) *
 Matches!$G$2:$G$200
)
+
SUMPRODUCT(
 (Matches!$A$2:$A$200=$A12) *
 ((Matches!$E$2:$E$200=H$1)+(Matches!$F$2:$F$200=H$1)) *
 Matches!$H$2:$H$200
)
&amp;")"</f>
        <v>1 (16)</v>
      </c>
      <c r="I12" t="str" cm="1">
        <f t="array" ref="I12">COUNTIFS(
 Matches!$A$2:$A$200,$A12,
 Matches!$I$2:$I$200,"*"&amp;I$1&amp;"*"
)
&amp;" ("&amp;
SUMPRODUCT(
 (Matches!$A$2:$A$200=$A12) *
 ((Matches!$C$2:$C$200=I$1)+(Matches!$D$2:$D$200=I$1)) *
 Matches!$G$2:$G$200
)
+
SUMPRODUCT(
 (Matches!$A$2:$A$200=$A12) *
 ((Matches!$E$2:$E$200=I$1)+(Matches!$F$2:$F$200=I$1)) *
 Matches!$H$2:$H$200
)
&amp;")"</f>
        <v>1 (15)</v>
      </c>
    </row>
    <row r="13" spans="1:10" x14ac:dyDescent="0.35">
      <c r="A13" t="str">
        <f t="shared" si="0"/>
        <v>R20260127-2</v>
      </c>
      <c r="B13" s="1">
        <v>46049</v>
      </c>
      <c r="C13" s="2">
        <v>0.65625</v>
      </c>
      <c r="D13" s="2">
        <v>0.76041666666666663</v>
      </c>
      <c r="E13" s="3">
        <f t="shared" si="1"/>
        <v>0.10416666666666663</v>
      </c>
      <c r="F13" t="str" cm="1">
        <f t="array" ref="F13">COUNTIFS(
 Matches!$A$2:$A$200,$A13,
 Matches!$I$2:$I$200,"*"&amp;F$1&amp;"*"
)
&amp;" ("&amp;
SUMPRODUCT(
 (Matches!$A$2:$A$200=$A13) *
 ((Matches!$C$2:$C$200=F$1)+(Matches!$D$2:$D$200=F$1)) *
 Matches!$G$2:$G$200
)
+
SUMPRODUCT(
 (Matches!$A$2:$A$200=$A13) *
 ((Matches!$E$2:$E$200=F$1)+(Matches!$F$2:$F$200=F$1)) *
 Matches!$H$2:$H$200
)
&amp;")"</f>
        <v>2 (24)</v>
      </c>
      <c r="G13" t="str" cm="1">
        <f t="array" ref="G13">COUNTIFS(
 Matches!$A$2:$A$200,$A13,
 Matches!$I$2:$I$200,"*"&amp;G$1&amp;"*"
)
&amp;" ("&amp;
SUMPRODUCT(
 (Matches!$A$2:$A$200=$A13) *
 ((Matches!$C$2:$C$200=G$1)+(Matches!$D$2:$D$200=G$1)) *
 Matches!$G$2:$G$200
)
+
SUMPRODUCT(
 (Matches!$A$2:$A$200=$A13) *
 ((Matches!$E$2:$E$200=G$1)+(Matches!$F$2:$F$200=G$1)) *
 Matches!$H$2:$H$200
)
&amp;")"</f>
        <v>0 (19)</v>
      </c>
      <c r="H13" t="str" cm="1">
        <f t="array" ref="H13">COUNTIFS(
 Matches!$A$2:$A$200,$A13,
 Matches!$I$2:$I$200,"*"&amp;H$1&amp;"*"
)
&amp;" ("&amp;
SUMPRODUCT(
 (Matches!$A$2:$A$200=$A13) *
 ((Matches!$C$2:$C$200=H$1)+(Matches!$D$2:$D$200=H$1)) *
 Matches!$G$2:$G$200
)
+
SUMPRODUCT(
 (Matches!$A$2:$A$200=$A13) *
 ((Matches!$E$2:$E$200=H$1)+(Matches!$F$2:$F$200=H$1)) *
 Matches!$H$2:$H$200
)
&amp;")"</f>
        <v>2 (29)</v>
      </c>
      <c r="I13" t="str" cm="1">
        <f t="array" ref="I13">COUNTIFS(
 Matches!$A$2:$A$200,$A13,
 Matches!$I$2:$I$200,"*"&amp;I$1&amp;"*"
)
&amp;" ("&amp;
SUMPRODUCT(
 (Matches!$A$2:$A$200=$A13) *
 ((Matches!$C$2:$C$200=I$1)+(Matches!$D$2:$D$200=I$1)) *
 Matches!$G$2:$G$200
)
+
SUMPRODUCT(
 (Matches!$A$2:$A$200=$A13) *
 ((Matches!$E$2:$E$200=I$1)+(Matches!$F$2:$F$200=I$1)) *
 Matches!$H$2:$H$200
)
&amp;")"</f>
        <v>2 (26)</v>
      </c>
    </row>
    <row r="14" spans="1:10" x14ac:dyDescent="0.35">
      <c r="A14" t="str">
        <f t="shared" si="0"/>
        <v>R20260127-3</v>
      </c>
      <c r="B14" s="1">
        <v>46049</v>
      </c>
      <c r="C14" s="2">
        <v>0.77083333333333337</v>
      </c>
      <c r="D14" s="2">
        <v>0.88888888888888884</v>
      </c>
      <c r="E14" s="3">
        <f t="shared" si="1"/>
        <v>0.11805555555555547</v>
      </c>
      <c r="F14" t="str" cm="1">
        <f t="array" ref="F14">COUNTIFS(
 Matches!$A$2:$A$200,$A14,
 Matches!$I$2:$I$200,"*"&amp;F$1&amp;"*"
)
&amp;" ("&amp;
SUMPRODUCT(
 (Matches!$A$2:$A$200=$A14) *
 ((Matches!$C$2:$C$200=F$1)+(Matches!$D$2:$D$200=F$1)) *
 Matches!$G$2:$G$200
)
+
SUMPRODUCT(
 (Matches!$A$2:$A$200=$A14) *
 ((Matches!$E$2:$E$200=F$1)+(Matches!$F$2:$F$200=F$1)) *
 Matches!$H$2:$H$200
)
&amp;")"</f>
        <v>2 (25)</v>
      </c>
      <c r="G14" t="str" cm="1">
        <f t="array" ref="G14">COUNTIFS(
 Matches!$A$2:$A$200,$A14,
 Matches!$I$2:$I$200,"*"&amp;G$1&amp;"*"
)
&amp;" ("&amp;
SUMPRODUCT(
 (Matches!$A$2:$A$200=$A14) *
 ((Matches!$C$2:$C$200=G$1)+(Matches!$D$2:$D$200=G$1)) *
 Matches!$G$2:$G$200
)
+
SUMPRODUCT(
 (Matches!$A$2:$A$200=$A14) *
 ((Matches!$E$2:$E$200=G$1)+(Matches!$F$2:$F$200=G$1)) *
 Matches!$H$2:$H$200
)
&amp;")"</f>
        <v>2 (27)</v>
      </c>
      <c r="H14" t="str" cm="1">
        <f t="array" ref="H14">COUNTIFS(
 Matches!$A$2:$A$200,$A14,
 Matches!$I$2:$I$200,"*"&amp;H$1&amp;"*"
)
&amp;" ("&amp;
SUMPRODUCT(
 (Matches!$A$2:$A$200=$A14) *
 ((Matches!$C$2:$C$200=H$1)+(Matches!$D$2:$D$200=H$1)) *
 Matches!$G$2:$G$200
)
+
SUMPRODUCT(
 (Matches!$A$2:$A$200=$A14) *
 ((Matches!$E$2:$E$200=H$1)+(Matches!$F$2:$F$200=H$1)) *
 Matches!$H$2:$H$200
)
&amp;")"</f>
        <v>0 (19)</v>
      </c>
      <c r="I14" t="str" cm="1">
        <f t="array" ref="I14">COUNTIFS(
 Matches!$A$2:$A$200,$A14,
 Matches!$I$2:$I$200,"*"&amp;I$1&amp;"*"
)
&amp;" ("&amp;
SUMPRODUCT(
 (Matches!$A$2:$A$200=$A14) *
 ((Matches!$C$2:$C$200=I$1)+(Matches!$D$2:$D$200=I$1)) *
 Matches!$G$2:$G$200
)
+
SUMPRODUCT(
 (Matches!$A$2:$A$200=$A14) *
 ((Matches!$E$2:$E$200=I$1)+(Matches!$F$2:$F$200=I$1)) *
 Matches!$H$2:$H$200
)
&amp;")"</f>
        <v>2 (27)</v>
      </c>
    </row>
    <row r="15" spans="1:10" x14ac:dyDescent="0.35">
      <c r="A15" t="str">
        <f t="shared" si="0"/>
        <v>R20260203-1</v>
      </c>
      <c r="B15" s="1">
        <v>46056</v>
      </c>
      <c r="C15" s="2">
        <v>0.54166666666666663</v>
      </c>
      <c r="D15" s="2">
        <v>0.72916666666666663</v>
      </c>
      <c r="E15" s="3">
        <f t="shared" si="1"/>
        <v>0.1875</v>
      </c>
      <c r="F15" t="str" cm="1">
        <f t="array" ref="F15">COUNTIFS(
 Matches!$A$2:$A$200,$A15,
 Matches!$I$2:$I$200,"*"&amp;F$1&amp;"*"
)
&amp;" ("&amp;
SUMPRODUCT(
 (Matches!$A$2:$A$200=$A15) *
 ((Matches!$C$2:$C$200=F$1)+(Matches!$D$2:$D$200=F$1)) *
 Matches!$G$2:$G$200
)
+
SUMPRODUCT(
 (Matches!$A$2:$A$200=$A15) *
 ((Matches!$E$2:$E$200=F$1)+(Matches!$F$2:$F$200=F$1)) *
 Matches!$H$2:$H$200
)
&amp;")"</f>
        <v>2 (26)</v>
      </c>
      <c r="G15" t="str" cm="1">
        <f t="array" ref="G15">COUNTIFS(
 Matches!$A$2:$A$200,$A15,
 Matches!$I$2:$I$200,"*"&amp;G$1&amp;"*"
)
&amp;" ("&amp;
SUMPRODUCT(
 (Matches!$A$2:$A$200=$A15) *
 ((Matches!$C$2:$C$200=G$1)+(Matches!$D$2:$D$200=G$1)) *
 Matches!$G$2:$G$200
)
+
SUMPRODUCT(
 (Matches!$A$2:$A$200=$A15) *
 ((Matches!$E$2:$E$200=G$1)+(Matches!$F$2:$F$200=G$1)) *
 Matches!$H$2:$H$200
)
&amp;")"</f>
        <v>2 (27)</v>
      </c>
      <c r="H15" t="str" cm="1">
        <f t="array" ref="H15">COUNTIFS(
 Matches!$A$2:$A$200,$A15,
 Matches!$I$2:$I$200,"*"&amp;H$1&amp;"*"
)
&amp;" ("&amp;
SUMPRODUCT(
 (Matches!$A$2:$A$200=$A15) *
 ((Matches!$C$2:$C$200=H$1)+(Matches!$D$2:$D$200=H$1)) *
 Matches!$G$2:$G$200
)
+
SUMPRODUCT(
 (Matches!$A$2:$A$200=$A15) *
 ((Matches!$E$2:$E$200=H$1)+(Matches!$F$2:$F$200=H$1)) *
 Matches!$H$2:$H$200
)
&amp;")"</f>
        <v>0 (21)</v>
      </c>
      <c r="I15" t="str" cm="1">
        <f t="array" ref="I15">COUNTIFS(
 Matches!$A$2:$A$200,$A15,
 Matches!$I$2:$I$200,"*"&amp;I$1&amp;"*"
)
&amp;" ("&amp;
SUMPRODUCT(
 (Matches!$A$2:$A$200=$A15) *
 ((Matches!$C$2:$C$200=I$1)+(Matches!$D$2:$D$200=I$1)) *
 Matches!$G$2:$G$200
)
+
SUMPRODUCT(
 (Matches!$A$2:$A$200=$A15) *
 ((Matches!$E$2:$E$200=I$1)+(Matches!$F$2:$F$200=I$1)) *
 Matches!$H$2:$H$200
)
&amp;")"</f>
        <v>2 (28)</v>
      </c>
    </row>
    <row r="16" spans="1:10" x14ac:dyDescent="0.35">
      <c r="A16" t="str">
        <f t="shared" si="0"/>
        <v>R20260203-2</v>
      </c>
      <c r="B16" s="1">
        <v>46056</v>
      </c>
      <c r="C16" s="2">
        <v>0.75</v>
      </c>
      <c r="D16" s="2">
        <v>0.83333333333333337</v>
      </c>
      <c r="E16" s="3">
        <f t="shared" si="1"/>
        <v>8.333333333333337E-2</v>
      </c>
      <c r="F16" t="str" cm="1">
        <f t="array" ref="F16">COUNTIFS(
 Matches!$A$2:$A$200,$A16,
 Matches!$I$2:$I$200,"*"&amp;F$1&amp;"*"
)
&amp;" ("&amp;
SUMPRODUCT(
 (Matches!$A$2:$A$200=$A16) *
 ((Matches!$C$2:$C$200=F$1)+(Matches!$D$2:$D$200=F$1)) *
 Matches!$G$2:$G$200
)
+
SUMPRODUCT(
 (Matches!$A$2:$A$200=$A16) *
 ((Matches!$E$2:$E$200=F$1)+(Matches!$F$2:$F$200=F$1)) *
 Matches!$H$2:$H$200
)
&amp;")"</f>
        <v>1 (13)</v>
      </c>
      <c r="G16" t="str" cm="1">
        <f t="array" ref="G16">COUNTIFS(
 Matches!$A$2:$A$200,$A16,
 Matches!$I$2:$I$200,"*"&amp;G$1&amp;"*"
)
&amp;" ("&amp;
SUMPRODUCT(
 (Matches!$A$2:$A$200=$A16) *
 ((Matches!$C$2:$C$200=G$1)+(Matches!$D$2:$D$200=G$1)) *
 Matches!$G$2:$G$200
)
+
SUMPRODUCT(
 (Matches!$A$2:$A$200=$A16) *
 ((Matches!$E$2:$E$200=G$1)+(Matches!$F$2:$F$200=G$1)) *
 Matches!$H$2:$H$200
)
&amp;")"</f>
        <v>1 (17)</v>
      </c>
      <c r="H16" t="str" cm="1">
        <f t="array" ref="H16">COUNTIFS(
 Matches!$A$2:$A$200,$A16,
 Matches!$I$2:$I$200,"*"&amp;H$1&amp;"*"
)
&amp;" ("&amp;
SUMPRODUCT(
 (Matches!$A$2:$A$200=$A16) *
 ((Matches!$C$2:$C$200=H$1)+(Matches!$D$2:$D$200=H$1)) *
 Matches!$G$2:$G$200
)
+
SUMPRODUCT(
 (Matches!$A$2:$A$200=$A16) *
 ((Matches!$E$2:$E$200=H$1)+(Matches!$F$2:$F$200=H$1)) *
 Matches!$H$2:$H$200
)
&amp;")"</f>
        <v>3 (30)</v>
      </c>
      <c r="I16" t="str" cm="1">
        <f t="array" ref="I16">COUNTIFS(
 Matches!$A$2:$A$200,$A16,
 Matches!$I$2:$I$200,"*"&amp;I$1&amp;"*"
)
&amp;" ("&amp;
SUMPRODUCT(
 (Matches!$A$2:$A$200=$A16) *
 ((Matches!$C$2:$C$200=I$1)+(Matches!$D$2:$D$200=I$1)) *
 Matches!$G$2:$G$200
)
+
SUMPRODUCT(
 (Matches!$A$2:$A$200=$A16) *
 ((Matches!$E$2:$E$200=I$1)+(Matches!$F$2:$F$200=I$1)) *
 Matches!$H$2:$H$200
)
&amp;")"</f>
        <v>1 (20)</v>
      </c>
    </row>
    <row r="17" spans="1:10" x14ac:dyDescent="0.35">
      <c r="A17" t="str">
        <f t="shared" si="0"/>
        <v>R20260203-3</v>
      </c>
      <c r="B17" s="1">
        <v>46056</v>
      </c>
      <c r="C17" s="2">
        <v>0.875</v>
      </c>
      <c r="D17" s="2">
        <v>0.96875</v>
      </c>
      <c r="E17" s="3">
        <f t="shared" si="1"/>
        <v>9.375E-2</v>
      </c>
      <c r="F17" t="str" cm="1">
        <f t="array" ref="F17">COUNTIFS(
 Matches!$A$2:$A$200,$A17,
 Matches!$I$2:$I$200,"*"&amp;F$1&amp;"*"
)
&amp;" ("&amp;
SUMPRODUCT(
 (Matches!$A$2:$A$200=$A17) *
 ((Matches!$C$2:$C$200=F$1)+(Matches!$D$2:$D$200=F$1)) *
 Matches!$G$2:$G$200
)
+
SUMPRODUCT(
 (Matches!$A$2:$A$200=$A17) *
 ((Matches!$E$2:$E$200=F$1)+(Matches!$F$2:$F$200=F$1)) *
 Matches!$H$2:$H$200
)
&amp;")"</f>
        <v>3 (30)</v>
      </c>
      <c r="G17" t="str" cm="1">
        <f t="array" ref="G17">COUNTIFS(
 Matches!$A$2:$A$200,$A17,
 Matches!$I$2:$I$200,"*"&amp;G$1&amp;"*"
)
&amp;" ("&amp;
SUMPRODUCT(
 (Matches!$A$2:$A$200=$A17) *
 ((Matches!$C$2:$C$200=G$1)+(Matches!$D$2:$D$200=G$1)) *
 Matches!$G$2:$G$200
)
+
SUMPRODUCT(
 (Matches!$A$2:$A$200=$A17) *
 ((Matches!$E$2:$E$200=G$1)+(Matches!$F$2:$F$200=G$1)) *
 Matches!$H$2:$H$200
)
&amp;")"</f>
        <v>1 (17)</v>
      </c>
      <c r="H17" t="str" cm="1">
        <f t="array" ref="H17">COUNTIFS(
 Matches!$A$2:$A$200,$A17,
 Matches!$I$2:$I$200,"*"&amp;H$1&amp;"*"
)
&amp;" ("&amp;
SUMPRODUCT(
 (Matches!$A$2:$A$200=$A17) *
 ((Matches!$C$2:$C$200=H$1)+(Matches!$D$2:$D$200=H$1)) *
 Matches!$G$2:$G$200
)
+
SUMPRODUCT(
 (Matches!$A$2:$A$200=$A17) *
 ((Matches!$E$2:$E$200=H$1)+(Matches!$F$2:$F$200=H$1)) *
 Matches!$H$2:$H$200
)
&amp;")"</f>
        <v>1 (20)</v>
      </c>
      <c r="I17" t="str" cm="1">
        <f t="array" ref="I17">COUNTIFS(
 Matches!$A$2:$A$200,$A17,
 Matches!$I$2:$I$200,"*"&amp;I$1&amp;"*"
)
&amp;" ("&amp;
SUMPRODUCT(
 (Matches!$A$2:$A$200=$A17) *
 ((Matches!$C$2:$C$200=I$1)+(Matches!$D$2:$D$200=I$1)) *
 Matches!$G$2:$G$200
)
+
SUMPRODUCT(
 (Matches!$A$2:$A$200=$A17) *
 ((Matches!$E$2:$E$200=I$1)+(Matches!$F$2:$F$200=I$1)) *
 Matches!$H$2:$H$200
)
&amp;")"</f>
        <v>1 (21)</v>
      </c>
    </row>
    <row r="18" spans="1:10" x14ac:dyDescent="0.35">
      <c r="A18" t="str">
        <f>"R"&amp;TEXT(B18,"yyyymmdd")&amp;"-"&amp;COUNTIFS($B:$B,B18,$C:$C,"&lt;="&amp;C18)</f>
        <v>R20260216-1</v>
      </c>
      <c r="B18" s="1">
        <v>46069</v>
      </c>
      <c r="C18" s="2">
        <v>0</v>
      </c>
      <c r="E18" s="3">
        <f t="shared" si="1"/>
        <v>0</v>
      </c>
      <c r="F18" t="str" cm="1">
        <f t="array" ref="F18">COUNTIFS(
 Matches!$A$2:$A$200,$A18,
 Matches!$I$2:$I$200,"*"&amp;F$1&amp;"*"
)
&amp;" ("&amp;
SUMPRODUCT(
 (Matches!$A$2:$A$200=$A18) *
 ((Matches!$C$2:$C$200=F$1)+(Matches!$D$2:$D$200=F$1)) *
 Matches!$G$2:$G$200
)
+
SUMPRODUCT(
 (Matches!$A$2:$A$200=$A18) *
 ((Matches!$E$2:$E$200=F$1)+(Matches!$F$2:$F$200=F$1)) *
 Matches!$H$2:$H$200
)
&amp;")"</f>
        <v>3 (30)</v>
      </c>
      <c r="G18" t="str" cm="1">
        <f t="array" ref="G18">COUNTIFS(
 Matches!$A$2:$A$200,$A18,
 Matches!$I$2:$I$200,"*"&amp;G$1&amp;"*"
)
&amp;" ("&amp;
SUMPRODUCT(
 (Matches!$A$2:$A$200=$A18) *
 ((Matches!$C$2:$C$200=G$1)+(Matches!$D$2:$D$200=G$1)) *
 Matches!$G$2:$G$200
)
+
SUMPRODUCT(
 (Matches!$A$2:$A$200=$A18) *
 ((Matches!$E$2:$E$200=G$1)+(Matches!$F$2:$F$200=G$1)) *
 Matches!$H$2:$H$200
)
&amp;")"</f>
        <v>1 (16)</v>
      </c>
      <c r="H18" t="str" cm="1">
        <f t="array" ref="H18">COUNTIFS(
 Matches!$A$2:$A$200,$A18,
 Matches!$I$2:$I$200,"*"&amp;H$1&amp;"*"
)
&amp;" ("&amp;
SUMPRODUCT(
 (Matches!$A$2:$A$200=$A18) *
 ((Matches!$C$2:$C$200=H$1)+(Matches!$D$2:$D$200=H$1)) *
 Matches!$G$2:$G$200
)
+
SUMPRODUCT(
 (Matches!$A$2:$A$200=$A18) *
 ((Matches!$E$2:$E$200=H$1)+(Matches!$F$2:$F$200=H$1)) *
 Matches!$H$2:$H$200
)
&amp;")"</f>
        <v>1 (16)</v>
      </c>
      <c r="I18" t="str" cm="1">
        <f t="array" ref="I18">COUNTIFS(
 Matches!$A$2:$A$200,$A18,
 Matches!$I$2:$I$200,"*"&amp;I$1&amp;"*"
)
&amp;" ("&amp;
SUMPRODUCT(
 (Matches!$A$2:$A$200=$A18) *
 ((Matches!$C$2:$C$200=I$1)+(Matches!$D$2:$D$200=I$1)) *
 Matches!$G$2:$G$200
)
+
SUMPRODUCT(
 (Matches!$A$2:$A$200=$A18) *
 ((Matches!$E$2:$E$200=I$1)+(Matches!$F$2:$F$200=I$1)) *
 Matches!$H$2:$H$200
)
&amp;")"</f>
        <v>1 (16)</v>
      </c>
    </row>
    <row r="19" spans="1:10" x14ac:dyDescent="0.35">
      <c r="A19" t="str">
        <f t="shared" ref="A19:A24" si="2">"R"&amp;TEXT(B19,"yyyymmdd")&amp;"-"&amp;COUNTIFS($B:$B,B19,$C:$C,"&lt;="&amp;C19)</f>
        <v>R20260216-2</v>
      </c>
      <c r="B19" s="1">
        <v>46069</v>
      </c>
      <c r="C19" s="2">
        <v>4.1666666666666664E-2</v>
      </c>
      <c r="E19" s="3">
        <f t="shared" si="1"/>
        <v>0.95833333333333337</v>
      </c>
      <c r="F19" t="str" cm="1">
        <f t="array" ref="F19">COUNTIFS(
 Matches!$A$2:$A$200,$A19,
 Matches!$I$2:$I$200,"*"&amp;F$1&amp;"*"
)
&amp;" ("&amp;
SUMPRODUCT(
 (Matches!$A$2:$A$200=$A19) *
 ((Matches!$C$2:$C$200=F$1)+(Matches!$D$2:$D$200=F$1)) *
 Matches!$G$2:$G$200
)
+
SUMPRODUCT(
 (Matches!$A$2:$A$200=$A19) *
 ((Matches!$E$2:$E$200=F$1)+(Matches!$F$2:$F$200=F$1)) *
 Matches!$H$2:$H$200
)
&amp;")"</f>
        <v>1 (18)</v>
      </c>
      <c r="G19" t="str" cm="1">
        <f t="array" ref="G19">COUNTIFS(
 Matches!$A$2:$A$200,$A19,
 Matches!$I$2:$I$200,"*"&amp;G$1&amp;"*"
)
&amp;" ("&amp;
SUMPRODUCT(
 (Matches!$A$2:$A$200=$A19) *
 ((Matches!$C$2:$C$200=G$1)+(Matches!$D$2:$D$200=G$1)) *
 Matches!$G$2:$G$200
)
+
SUMPRODUCT(
 (Matches!$A$2:$A$200=$A19) *
 ((Matches!$E$2:$E$200=G$1)+(Matches!$F$2:$F$200=G$1)) *
 Matches!$H$2:$H$200
)
&amp;")"</f>
        <v>1 (18)</v>
      </c>
      <c r="H19" t="str" cm="1">
        <f t="array" ref="H19">COUNTIFS(
 Matches!$A$2:$A$200,$A19,
 Matches!$I$2:$I$200,"*"&amp;H$1&amp;"*"
)
&amp;" ("&amp;
SUMPRODUCT(
 (Matches!$A$2:$A$200=$A19) *
 ((Matches!$C$2:$C$200=H$1)+(Matches!$D$2:$D$200=H$1)) *
 Matches!$G$2:$G$200
)
+
SUMPRODUCT(
 (Matches!$A$2:$A$200=$A19) *
 ((Matches!$E$2:$E$200=H$1)+(Matches!$F$2:$F$200=H$1)) *
 Matches!$H$2:$H$200
)
&amp;")"</f>
        <v>1 (22)</v>
      </c>
      <c r="I19" t="str" cm="1">
        <f t="array" ref="I19">COUNTIFS(
 Matches!$A$2:$A$200,$A19,
 Matches!$I$2:$I$200,"*"&amp;I$1&amp;"*"
)
&amp;" ("&amp;
SUMPRODUCT(
 (Matches!$A$2:$A$200=$A19) *
 ((Matches!$C$2:$C$200=I$1)+(Matches!$D$2:$D$200=I$1)) *
 Matches!$G$2:$G$200
)
+
SUMPRODUCT(
 (Matches!$A$2:$A$200=$A19) *
 ((Matches!$E$2:$E$200=I$1)+(Matches!$F$2:$F$200=I$1)) *
 Matches!$H$2:$H$200
)
&amp;")"</f>
        <v>3 (30)</v>
      </c>
    </row>
    <row r="20" spans="1:10" x14ac:dyDescent="0.35">
      <c r="A20" t="str">
        <f t="shared" si="2"/>
        <v>R20260216-3</v>
      </c>
      <c r="B20" s="1">
        <v>46069</v>
      </c>
      <c r="C20" s="2">
        <v>8.3333333333333329E-2</v>
      </c>
      <c r="E20" s="3">
        <f t="shared" si="1"/>
        <v>0.91666666666666663</v>
      </c>
      <c r="F20" t="str" cm="1">
        <f t="array" ref="F20">COUNTIFS(
 Matches!$A$2:$A$200,$A20,
 Matches!$I$2:$I$200,"*"&amp;F$1&amp;"*"
)
&amp;" ("&amp;
SUMPRODUCT(
 (Matches!$A$2:$A$200=$A20) *
 ((Matches!$C$2:$C$200=F$1)+(Matches!$D$2:$D$200=F$1)) *
 Matches!$G$2:$G$200
)
+
SUMPRODUCT(
 (Matches!$A$2:$A$200=$A20) *
 ((Matches!$E$2:$E$200=F$1)+(Matches!$F$2:$F$200=F$1)) *
 Matches!$H$2:$H$200
)
&amp;")"</f>
        <v>0 (3)</v>
      </c>
      <c r="G20" t="str" cm="1">
        <f t="array" ref="G20">COUNTIFS(
 Matches!$A$2:$A$200,$A20,
 Matches!$I$2:$I$200,"*"&amp;G$1&amp;"*"
)
&amp;" ("&amp;
SUMPRODUCT(
 (Matches!$A$2:$A$200=$A20) *
 ((Matches!$C$2:$C$200=G$1)+(Matches!$D$2:$D$200=G$1)) *
 Matches!$G$2:$G$200
)
+
SUMPRODUCT(
 (Matches!$A$2:$A$200=$A20) *
 ((Matches!$E$2:$E$200=G$1)+(Matches!$F$2:$F$200=G$1)) *
 Matches!$H$2:$H$200
)
&amp;")"</f>
        <v>1 (11)</v>
      </c>
      <c r="H20" t="str" cm="1">
        <f t="array" ref="H20">COUNTIFS(
 Matches!$A$2:$A$200,$A20,
 Matches!$I$2:$I$200,"*"&amp;H$1&amp;"*"
)
&amp;" ("&amp;
SUMPRODUCT(
 (Matches!$A$2:$A$200=$A20) *
 ((Matches!$C$2:$C$200=H$1)+(Matches!$D$2:$D$200=H$1)) *
 Matches!$G$2:$G$200
)
+
SUMPRODUCT(
 (Matches!$A$2:$A$200=$A20) *
 ((Matches!$E$2:$E$200=H$1)+(Matches!$F$2:$F$200=H$1)) *
 Matches!$H$2:$H$200
)
&amp;")"</f>
        <v>1 (12)</v>
      </c>
      <c r="I20" t="str" cm="1">
        <f t="array" ref="I20">COUNTIFS(
 Matches!$A$2:$A$200,$A20,
 Matches!$I$2:$I$200,"*"&amp;I$1&amp;"*"
)
&amp;" ("&amp;
SUMPRODUCT(
 (Matches!$A$2:$A$200=$A20) *
 ((Matches!$C$2:$C$200=I$1)+(Matches!$D$2:$D$200=I$1)) *
 Matches!$G$2:$G$200
)
+
SUMPRODUCT(
 (Matches!$A$2:$A$200=$A20) *
 ((Matches!$E$2:$E$200=I$1)+(Matches!$F$2:$F$200=I$1)) *
 Matches!$H$2:$H$200
)
&amp;")"</f>
        <v>2 (20)</v>
      </c>
      <c r="J20" t="s">
        <v>51</v>
      </c>
    </row>
    <row r="21" spans="1:10" x14ac:dyDescent="0.35">
      <c r="A21" t="str">
        <f t="shared" si="2"/>
        <v>R20260312-1</v>
      </c>
      <c r="B21" s="1">
        <v>46093</v>
      </c>
      <c r="C21" s="2">
        <v>0</v>
      </c>
      <c r="E21" s="3">
        <f t="shared" si="1"/>
        <v>0</v>
      </c>
      <c r="F21" t="str" cm="1">
        <f t="array" ref="F21">COUNTIFS(
 Matches!$A$2:$A$200,$A21,
 Matches!$I$2:$I$200,"*"&amp;F$1&amp;"*"
)
&amp;" ("&amp;
SUMPRODUCT(
 (Matches!$A$2:$A$200=$A21) *
 ((Matches!$C$2:$C$200=F$1)+(Matches!$D$2:$D$200=F$1)) *
 Matches!$G$2:$G$200
)
+
SUMPRODUCT(
 (Matches!$A$2:$A$200=$A21) *
 ((Matches!$E$2:$E$200=F$1)+(Matches!$F$2:$F$200=F$1)) *
 Matches!$H$2:$H$200
)
&amp;")"</f>
        <v>0 (17)</v>
      </c>
      <c r="G21" t="str" cm="1">
        <f t="array" ref="G21">COUNTIFS(
 Matches!$A$2:$A$200,$A21,
 Matches!$I$2:$I$200,"*"&amp;G$1&amp;"*"
)
&amp;" ("&amp;
SUMPRODUCT(
 (Matches!$A$2:$A$200=$A21) *
 ((Matches!$C$2:$C$200=G$1)+(Matches!$D$2:$D$200=G$1)) *
 Matches!$G$2:$G$200
)
+
SUMPRODUCT(
 (Matches!$A$2:$A$200=$A21) *
 ((Matches!$E$2:$E$200=G$1)+(Matches!$F$2:$F$200=G$1)) *
 Matches!$H$2:$H$200
)
&amp;")"</f>
        <v>2 (26)</v>
      </c>
      <c r="H21" t="str" cm="1">
        <f t="array" ref="H21">COUNTIFS(
 Matches!$A$2:$A$200,$A21,
 Matches!$I$2:$I$200,"*"&amp;H$1&amp;"*"
)
&amp;" ("&amp;
SUMPRODUCT(
 (Matches!$A$2:$A$200=$A21) *
 ((Matches!$C$2:$C$200=H$1)+(Matches!$D$2:$D$200=H$1)) *
 Matches!$G$2:$G$200
)
+
SUMPRODUCT(
 (Matches!$A$2:$A$200=$A21) *
 ((Matches!$E$2:$E$200=H$1)+(Matches!$F$2:$F$200=H$1)) *
 Matches!$H$2:$H$200
)
&amp;")"</f>
        <v>2 (24)</v>
      </c>
      <c r="I21" t="str" cm="1">
        <f t="array" ref="I21">COUNTIFS(
 Matches!$A$2:$A$200,$A21,
 Matches!$I$2:$I$200,"*"&amp;I$1&amp;"*"
)
&amp;" ("&amp;
SUMPRODUCT(
 (Matches!$A$2:$A$200=$A21) *
 ((Matches!$C$2:$C$200=I$1)+(Matches!$D$2:$D$200=I$1)) *
 Matches!$G$2:$G$200
)
+
SUMPRODUCT(
 (Matches!$A$2:$A$200=$A21) *
 ((Matches!$E$2:$E$200=I$1)+(Matches!$F$2:$F$200=I$1)) *
 Matches!$H$2:$H$200
)
&amp;")"</f>
        <v>2 (27)</v>
      </c>
    </row>
    <row r="22" spans="1:10" x14ac:dyDescent="0.35">
      <c r="A22" t="str">
        <f>"R"&amp;TEXT(B22,"yyyymmdd")&amp;"-"&amp;COUNTIFS($B:$B,B22,$C:$C,"&lt;="&amp;C22)</f>
        <v>R20260318-1</v>
      </c>
      <c r="B22" s="1">
        <v>46099</v>
      </c>
      <c r="C22" s="2">
        <v>0</v>
      </c>
      <c r="E22" s="3">
        <f t="shared" si="1"/>
        <v>0</v>
      </c>
      <c r="F22" t="str" cm="1">
        <f t="array" ref="F22">COUNTIFS(
 Matches!$A$2:$A$200,$A22,
 Matches!$I$2:$I$200,"*"&amp;F$1&amp;"*"
)
&amp;" ("&amp;
SUMPRODUCT(
 (Matches!$A$2:$A$200=$A22) *
 ((Matches!$C$2:$C$200=F$1)+(Matches!$D$2:$D$200=F$1)) *
 Matches!$G$2:$G$200
)
+
SUMPRODUCT(
 (Matches!$A$2:$A$200=$A22) *
 ((Matches!$E$2:$E$200=F$1)+(Matches!$F$2:$F$200=F$1)) *
 Matches!$H$2:$H$200
)
&amp;")"</f>
        <v>1 (22)</v>
      </c>
      <c r="G22" t="str" cm="1">
        <f t="array" ref="G22">COUNTIFS(
 Matches!$A$2:$A$200,$A22,
 Matches!$I$2:$I$200,"*"&amp;G$1&amp;"*"
)
&amp;" ("&amp;
SUMPRODUCT(
 (Matches!$A$2:$A$200=$A22) *
 ((Matches!$C$2:$C$200=G$1)+(Matches!$D$2:$D$200=G$1)) *
 Matches!$G$2:$G$200
)
+
SUMPRODUCT(
 (Matches!$A$2:$A$200=$A22) *
 ((Matches!$E$2:$E$200=G$1)+(Matches!$F$2:$F$200=G$1)) *
 Matches!$H$2:$H$200
)
&amp;")"</f>
        <v>3 (30)</v>
      </c>
      <c r="H22" t="str" cm="1">
        <f t="array" ref="H22">COUNTIFS(
 Matches!$A$2:$A$200,$A22,
 Matches!$I$2:$I$200,"*"&amp;H$1&amp;"*"
)
&amp;" ("&amp;
SUMPRODUCT(
 (Matches!$A$2:$A$200=$A22) *
 ((Matches!$C$2:$C$200=H$1)+(Matches!$D$2:$D$200=H$1)) *
 Matches!$G$2:$G$200
)
+
SUMPRODUCT(
 (Matches!$A$2:$A$200=$A22) *
 ((Matches!$E$2:$E$200=H$1)+(Matches!$F$2:$F$200=H$1)) *
 Matches!$H$2:$H$200
)
&amp;")"</f>
        <v>1 (18)</v>
      </c>
      <c r="I22" t="str" cm="1">
        <f t="array" ref="I22">COUNTIFS(
 Matches!$A$2:$A$200,$A22,
 Matches!$I$2:$I$200,"*"&amp;I$1&amp;"*"
)
&amp;" ("&amp;
SUMPRODUCT(
 (Matches!$A$2:$A$200=$A22) *
 ((Matches!$C$2:$C$200=I$1)+(Matches!$D$2:$D$200=I$1)) *
 Matches!$G$2:$G$200
)
+
SUMPRODUCT(
 (Matches!$A$2:$A$200=$A22) *
 ((Matches!$E$2:$E$200=I$1)+(Matches!$F$2:$F$200=I$1)) *
 Matches!$H$2:$H$200
)
&amp;")"</f>
        <v>1 (22)</v>
      </c>
    </row>
    <row r="23" spans="1:10" x14ac:dyDescent="0.35">
      <c r="A23" t="str">
        <f t="shared" si="2"/>
        <v>R20260318-2</v>
      </c>
      <c r="B23" s="1">
        <v>46099</v>
      </c>
      <c r="C23" s="2">
        <v>4.1666666666666664E-2</v>
      </c>
      <c r="E23" s="3">
        <f t="shared" si="1"/>
        <v>0.95833333333333337</v>
      </c>
      <c r="F23" t="str" cm="1">
        <f t="array" ref="F23">COUNTIFS(
 Matches!$A$2:$A$200,$A23,
 Matches!$I$2:$I$200,"*"&amp;F$1&amp;"*"
)
&amp;" ("&amp;
SUMPRODUCT(
 (Matches!$A$2:$A$200=$A23) *
 ((Matches!$C$2:$C$200=F$1)+(Matches!$D$2:$D$200=F$1)) *
 Matches!$G$2:$G$200
)
+
SUMPRODUCT(
 (Matches!$A$2:$A$200=$A23) *
 ((Matches!$E$2:$E$200=F$1)+(Matches!$F$2:$F$200=F$1)) *
 Matches!$H$2:$H$200
)
&amp;")"</f>
        <v>1 (22)</v>
      </c>
      <c r="G23" t="str" cm="1">
        <f t="array" ref="G23">COUNTIFS(
 Matches!$A$2:$A$200,$A23,
 Matches!$I$2:$I$200,"*"&amp;G$1&amp;"*"
)
&amp;" ("&amp;
SUMPRODUCT(
 (Matches!$A$2:$A$200=$A23) *
 ((Matches!$C$2:$C$200=G$1)+(Matches!$D$2:$D$200=G$1)) *
 Matches!$G$2:$G$200
)
+
SUMPRODUCT(
 (Matches!$A$2:$A$200=$A23) *
 ((Matches!$E$2:$E$200=G$1)+(Matches!$F$2:$F$200=G$1)) *
 Matches!$H$2:$H$200
)
&amp;")"</f>
        <v>3 (30)</v>
      </c>
      <c r="H23" t="str" cm="1">
        <f t="array" ref="H23">COUNTIFS(
 Matches!$A$2:$A$200,$A23,
 Matches!$I$2:$I$200,"*"&amp;H$1&amp;"*"
)
&amp;" ("&amp;
SUMPRODUCT(
 (Matches!$A$2:$A$200=$A23) *
 ((Matches!$C$2:$C$200=H$1)+(Matches!$D$2:$D$200=H$1)) *
 Matches!$G$2:$G$200
)
+
SUMPRODUCT(
 (Matches!$A$2:$A$200=$A23) *
 ((Matches!$E$2:$E$200=H$1)+(Matches!$F$2:$F$200=H$1)) *
 Matches!$H$2:$H$200
)
&amp;")"</f>
        <v>1 (22)</v>
      </c>
      <c r="I23" t="str" cm="1">
        <f t="array" ref="I23">COUNTIFS(
 Matches!$A$2:$A$200,$A23,
 Matches!$I$2:$I$200,"*"&amp;I$1&amp;"*"
)
&amp;" ("&amp;
SUMPRODUCT(
 (Matches!$A$2:$A$200=$A23) *
 ((Matches!$C$2:$C$200=I$1)+(Matches!$D$2:$D$200=I$1)) *
 Matches!$G$2:$G$200
)
+
SUMPRODUCT(
 (Matches!$A$2:$A$200=$A23) *
 ((Matches!$E$2:$E$200=I$1)+(Matches!$F$2:$F$200=I$1)) *
 Matches!$H$2:$H$200
)
&amp;")"</f>
        <v>1 (16)</v>
      </c>
    </row>
    <row r="24" spans="1:10" x14ac:dyDescent="0.35">
      <c r="A24" t="str">
        <f t="shared" si="2"/>
        <v>R20260318-3</v>
      </c>
      <c r="B24" s="1">
        <v>46099</v>
      </c>
      <c r="C24" s="2">
        <v>8.3333333333333329E-2</v>
      </c>
      <c r="E24" s="3">
        <f t="shared" si="1"/>
        <v>0.91666666666666663</v>
      </c>
      <c r="F24" t="str" cm="1">
        <f t="array" ref="F24">COUNTIFS(
 Matches!$A$2:$A$200,$A24,
 Matches!$I$2:$I$200,"*"&amp;F$1&amp;"*"
)
&amp;" ("&amp;
SUMPRODUCT(
 (Matches!$A$2:$A$200=$A24) *
 ((Matches!$C$2:$C$200=F$1)+(Matches!$D$2:$D$200=F$1)) *
 Matches!$G$2:$G$200
)
+
SUMPRODUCT(
 (Matches!$A$2:$A$200=$A24) *
 ((Matches!$E$2:$E$200=F$1)+(Matches!$F$2:$F$200=F$1)) *
 Matches!$H$2:$H$200
)
&amp;")"</f>
        <v>1 (25)</v>
      </c>
      <c r="G24" t="str" cm="1">
        <f t="array" ref="G24">COUNTIFS(
 Matches!$A$2:$A$200,$A24,
 Matches!$I$2:$I$200,"*"&amp;G$1&amp;"*"
)
&amp;" ("&amp;
SUMPRODUCT(
 (Matches!$A$2:$A$200=$A24) *
 ((Matches!$C$2:$C$200=G$1)+(Matches!$D$2:$D$200=G$1)) *
 Matches!$G$2:$G$200
)
+
SUMPRODUCT(
 (Matches!$A$2:$A$200=$A24) *
 ((Matches!$E$2:$E$200=G$1)+(Matches!$F$2:$F$200=G$1)) *
 Matches!$H$2:$H$200
)
&amp;")"</f>
        <v>1 (20)</v>
      </c>
      <c r="H24" t="str" cm="1">
        <f t="array" ref="H24">COUNTIFS(
 Matches!$A$2:$A$200,$A24,
 Matches!$I$2:$I$200,"*"&amp;H$1&amp;"*"
)
&amp;" ("&amp;
SUMPRODUCT(
 (Matches!$A$2:$A$200=$A24) *
 ((Matches!$C$2:$C$200=H$1)+(Matches!$D$2:$D$200=H$1)) *
 Matches!$G$2:$G$200
)
+
SUMPRODUCT(
 (Matches!$A$2:$A$200=$A24) *
 ((Matches!$E$2:$E$200=H$1)+(Matches!$F$2:$F$200=H$1)) *
 Matches!$H$2:$H$200
)
&amp;")"</f>
        <v>3 (30)</v>
      </c>
      <c r="I24" t="str" cm="1">
        <f t="array" ref="I24">COUNTIFS(
 Matches!$A$2:$A$200,$A24,
 Matches!$I$2:$I$200,"*"&amp;I$1&amp;"*"
)
&amp;" ("&amp;
SUMPRODUCT(
 (Matches!$A$2:$A$200=$A24) *
 ((Matches!$C$2:$C$200=I$1)+(Matches!$D$2:$D$200=I$1)) *
 Matches!$G$2:$G$200
)
+
SUMPRODUCT(
 (Matches!$A$2:$A$200=$A24) *
 ((Matches!$E$2:$E$200=I$1)+(Matches!$F$2:$F$200=I$1)) *
 Matches!$H$2:$H$200
)
&amp;")"</f>
        <v>1 (23)</v>
      </c>
    </row>
    <row r="25" spans="1:10" x14ac:dyDescent="0.35">
      <c r="A25" t="s">
        <v>61</v>
      </c>
      <c r="B25" s="1">
        <v>46115</v>
      </c>
      <c r="C25" s="2">
        <v>0</v>
      </c>
      <c r="E25" s="3">
        <f t="shared" si="1"/>
        <v>0</v>
      </c>
      <c r="F25" t="str" cm="1">
        <f t="array" ref="F25">COUNTIFS(
 Matches!$A$2:$A$200,$A25,
 Matches!$I$2:$I$200,"*"&amp;F$1&amp;"*"
)
&amp;" ("&amp;
SUMPRODUCT(
 (Matches!$A$2:$A$200=$A25) *
 ((Matches!$C$2:$C$200=F$1)+(Matches!$D$2:$D$200=F$1)) *
 Matches!$G$2:$G$200
)
+
SUMPRODUCT(
 (Matches!$A$2:$A$200=$A25) *
 ((Matches!$E$2:$E$200=F$1)+(Matches!$F$2:$F$200=F$1)) *
 Matches!$H$2:$H$200
)
&amp;")"</f>
        <v>2 (22)</v>
      </c>
      <c r="G25" t="str" cm="1">
        <f t="array" ref="G25">COUNTIFS(
 Matches!$A$2:$A$200,$A25,
 Matches!$I$2:$I$200,"*"&amp;G$1&amp;"*"
)
&amp;" ("&amp;
SUMPRODUCT(
 (Matches!$A$2:$A$200=$A25) *
 ((Matches!$C$2:$C$200=G$1)+(Matches!$D$2:$D$200=G$1)) *
 Matches!$G$2:$G$200
)
+
SUMPRODUCT(
 (Matches!$A$2:$A$200=$A25) *
 ((Matches!$E$2:$E$200=G$1)+(Matches!$F$2:$F$200=G$1)) *
 Matches!$H$2:$H$200
)
&amp;")"</f>
        <v>0 (18)</v>
      </c>
      <c r="H25" t="str" cm="1">
        <f t="array" ref="H25">COUNTIFS(
 Matches!$A$2:$A$200,$A25,
 Matches!$I$2:$I$200,"*"&amp;H$1&amp;"*"
)
&amp;" ("&amp;
SUMPRODUCT(
 (Matches!$A$2:$A$200=$A25) *
 ((Matches!$C$2:$C$200=H$1)+(Matches!$D$2:$D$200=H$1)) *
 Matches!$G$2:$G$200
)
+
SUMPRODUCT(
 (Matches!$A$2:$A$200=$A25) *
 ((Matches!$E$2:$E$200=H$1)+(Matches!$F$2:$F$200=H$1)) *
 Matches!$H$2:$H$200
)
&amp;")"</f>
        <v>2 (29)</v>
      </c>
      <c r="I25" t="str" cm="1">
        <f t="array" ref="I25">COUNTIFS(
 Matches!$A$2:$A$200,$A25,
 Matches!$I$2:$I$200,"*"&amp;I$1&amp;"*"
)
&amp;" ("&amp;
SUMPRODUCT(
 (Matches!$A$2:$A$200=$A25) *
 ((Matches!$C$2:$C$200=I$1)+(Matches!$D$2:$D$200=I$1)) *
 Matches!$G$2:$G$200
)
+
SUMPRODUCT(
 (Matches!$A$2:$A$200=$A25) *
 ((Matches!$E$2:$E$200=I$1)+(Matches!$F$2:$F$200=I$1)) *
 Matches!$H$2:$H$200
)
&amp;")"</f>
        <v>2 (27)</v>
      </c>
    </row>
    <row r="26" spans="1:10" x14ac:dyDescent="0.35">
      <c r="A26" t="s">
        <v>62</v>
      </c>
      <c r="B26" s="1">
        <v>46115</v>
      </c>
      <c r="C26" s="2">
        <v>4.1666666666666664E-2</v>
      </c>
      <c r="E26" s="3">
        <f t="shared" si="1"/>
        <v>0.95833333333333337</v>
      </c>
      <c r="F26" t="str" cm="1">
        <f t="array" ref="F26">COUNTIFS(
 Matches!$A$2:$A$200,$A26,
 Matches!$I$2:$I$200,"*"&amp;F$1&amp;"*"
)
&amp;" ("&amp;
SUMPRODUCT(
 (Matches!$A$2:$A$200=$A26) *
 ((Matches!$C$2:$C$200=F$1)+(Matches!$D$2:$D$200=F$1)) *
 Matches!$G$2:$G$200
)
+
SUMPRODUCT(
 (Matches!$A$2:$A$200=$A26) *
 ((Matches!$E$2:$E$200=F$1)+(Matches!$F$2:$F$200=F$1)) *
 Matches!$H$2:$H$200
)
&amp;")"</f>
        <v>1 (18)</v>
      </c>
      <c r="G26" t="str" cm="1">
        <f t="array" ref="G26">COUNTIFS(
 Matches!$A$2:$A$200,$A26,
 Matches!$I$2:$I$200,"*"&amp;G$1&amp;"*"
)
&amp;" ("&amp;
SUMPRODUCT(
 (Matches!$A$2:$A$200=$A26) *
 ((Matches!$C$2:$C$200=G$1)+(Matches!$D$2:$D$200=G$1)) *
 Matches!$G$2:$G$200
)
+
SUMPRODUCT(
 (Matches!$A$2:$A$200=$A26) *
 ((Matches!$E$2:$E$200=G$1)+(Matches!$F$2:$F$200=G$1)) *
 Matches!$H$2:$H$200
)
&amp;")"</f>
        <v>1 (17)</v>
      </c>
      <c r="H26" t="str" cm="1">
        <f t="array" ref="H26">COUNTIFS(
 Matches!$A$2:$A$200,$A26,
 Matches!$I$2:$I$200,"*"&amp;H$1&amp;"*"
)
&amp;" ("&amp;
SUMPRODUCT(
 (Matches!$A$2:$A$200=$A26) *
 ((Matches!$C$2:$C$200=H$1)+(Matches!$D$2:$D$200=H$1)) *
 Matches!$G$2:$G$200
)
+
SUMPRODUCT(
 (Matches!$A$2:$A$200=$A26) *
 ((Matches!$E$2:$E$200=H$1)+(Matches!$F$2:$F$200=H$1)) *
 Matches!$H$2:$H$200
)
&amp;")"</f>
        <v>3 (30)</v>
      </c>
      <c r="I26" t="str" cm="1">
        <f t="array" ref="I26">COUNTIFS(
 Matches!$A$2:$A$200,$A26,
 Matches!$I$2:$I$200,"*"&amp;I$1&amp;"*"
)
&amp;" ("&amp;
SUMPRODUCT(
 (Matches!$A$2:$A$200=$A26) *
 ((Matches!$C$2:$C$200=I$1)+(Matches!$D$2:$D$200=I$1)) *
 Matches!$G$2:$G$200
)
+
SUMPRODUCT(
 (Matches!$A$2:$A$200=$A26) *
 ((Matches!$E$2:$E$200=I$1)+(Matches!$F$2:$F$200=I$1)) *
 Matches!$H$2:$H$200
)
&amp;")"</f>
        <v>1 (25)</v>
      </c>
    </row>
    <row r="27" spans="1:10" x14ac:dyDescent="0.35">
      <c r="A27" t="str">
        <f>"R"&amp;TEXT(B27,"yyyymmdd")&amp;"-"&amp;COUNTIFS($B:$B,B27,$C:$C,"&lt;="&amp;C27)</f>
        <v>R20260406-1</v>
      </c>
      <c r="B27" s="1">
        <v>46118</v>
      </c>
      <c r="C27" s="2">
        <v>0</v>
      </c>
      <c r="E27" s="3">
        <f t="shared" si="1"/>
        <v>0</v>
      </c>
      <c r="F27" t="str" cm="1">
        <f t="array" ref="F27">COUNTIFS(
 Matches!$A$2:$A$200,$A27,
 Matches!$I$2:$I$200,"*"&amp;F$1&amp;"*"
)
&amp;" ("&amp;
SUMPRODUCT(
 (Matches!$A$2:$A$200=$A27) *
 ((Matches!$C$2:$C$200=F$1)+(Matches!$D$2:$D$200=F$1)) *
 Matches!$G$2:$G$200
)
+
SUMPRODUCT(
 (Matches!$A$2:$A$200=$A27) *
 ((Matches!$E$2:$E$200=F$1)+(Matches!$F$2:$F$200=F$1)) *
 Matches!$H$2:$H$200
)
&amp;")"</f>
        <v>2 (21)</v>
      </c>
      <c r="G27" t="str" cm="1">
        <f t="array" ref="G27">COUNTIFS(
 Matches!$A$2:$A$200,$A27,
 Matches!$I$2:$I$200,"*"&amp;G$1&amp;"*"
)
&amp;" ("&amp;
SUMPRODUCT(
 (Matches!$A$2:$A$200=$A27) *
 ((Matches!$C$2:$C$200=G$1)+(Matches!$D$2:$D$200=G$1)) *
 Matches!$G$2:$G$200
)
+
SUMPRODUCT(
 (Matches!$A$2:$A$200=$A27) *
 ((Matches!$E$2:$E$200=G$1)+(Matches!$F$2:$F$200=G$1)) *
 Matches!$H$2:$H$200
)
&amp;")"</f>
        <v>0 (15)</v>
      </c>
      <c r="H27" t="str" cm="1">
        <f t="array" ref="H27">COUNTIFS(
 Matches!$A$2:$A$200,$A27,
 Matches!$I$2:$I$200,"*"&amp;H$1&amp;"*"
)
&amp;" ("&amp;
SUMPRODUCT(
 (Matches!$A$2:$A$200=$A27) *
 ((Matches!$C$2:$C$200=H$1)+(Matches!$D$2:$D$200=H$1)) *
 Matches!$G$2:$G$200
)
+
SUMPRODUCT(
 (Matches!$A$2:$A$200=$A27) *
 ((Matches!$E$2:$E$200=H$1)+(Matches!$F$2:$F$200=H$1)) *
 Matches!$H$2:$H$200
)
&amp;")"</f>
        <v>2 (29)</v>
      </c>
      <c r="I27" t="str" cm="1">
        <f t="array" ref="I27">COUNTIFS(
 Matches!$A$2:$A$200,$A27,
 Matches!$I$2:$I$200,"*"&amp;I$1&amp;"*"
)
&amp;" ("&amp;
SUMPRODUCT(
 (Matches!$A$2:$A$200=$A27) *
 ((Matches!$C$2:$C$200=I$1)+(Matches!$D$2:$D$200=I$1)) *
 Matches!$G$2:$G$200
)
+
SUMPRODUCT(
 (Matches!$A$2:$A$200=$A27) *
 ((Matches!$E$2:$E$200=I$1)+(Matches!$F$2:$F$200=I$1)) *
 Matches!$H$2:$H$200
)
&amp;")"</f>
        <v>2 (25)</v>
      </c>
    </row>
    <row r="28" spans="1:10" x14ac:dyDescent="0.35">
      <c r="A28" t="str">
        <f>"R"&amp;TEXT(B28,"yyyymmdd")&amp;"-"&amp;COUNTIFS($B:$B,B28,$C:$C,"&lt;="&amp;C28)</f>
        <v>R20260406-2</v>
      </c>
      <c r="B28" s="1">
        <v>46118</v>
      </c>
      <c r="C28" s="2">
        <v>4.1666666666666664E-2</v>
      </c>
      <c r="E28" s="3">
        <f t="shared" si="1"/>
        <v>0.95833333333333337</v>
      </c>
      <c r="F28" t="str" cm="1">
        <f t="array" ref="F28">COUNTIFS(
 Matches!$A$2:$A$200,$A28,
 Matches!$I$2:$I$200,"*"&amp;F$1&amp;"*"
)
&amp;" ("&amp;
SUMPRODUCT(
 (Matches!$A$2:$A$200=$A28) *
 ((Matches!$C$2:$C$200=F$1)+(Matches!$D$2:$D$200=F$1)) *
 Matches!$G$2:$G$200
)
+
SUMPRODUCT(
 (Matches!$A$2:$A$200=$A28) *
 ((Matches!$E$2:$E$200=F$1)+(Matches!$F$2:$F$200=F$1)) *
 Matches!$H$2:$H$200
)
&amp;")"</f>
        <v>2 (24)</v>
      </c>
      <c r="G28" t="str" cm="1">
        <f t="array" ref="G28">COUNTIFS(
 Matches!$A$2:$A$200,$A28,
 Matches!$I$2:$I$200,"*"&amp;G$1&amp;"*"
)
&amp;" ("&amp;
SUMPRODUCT(
 (Matches!$A$2:$A$200=$A28) *
 ((Matches!$C$2:$C$200=G$1)+(Matches!$D$2:$D$200=G$1)) *
 Matches!$G$2:$G$200
)
+
SUMPRODUCT(
 (Matches!$A$2:$A$200=$A28) *
 ((Matches!$E$2:$E$200=G$1)+(Matches!$F$2:$F$200=G$1)) *
 Matches!$H$2:$H$200
)
&amp;")"</f>
        <v>2 (21)</v>
      </c>
      <c r="H28" t="str" cm="1">
        <f t="array" ref="H28">COUNTIFS(
 Matches!$A$2:$A$200,$A28,
 Matches!$I$2:$I$200,"*"&amp;H$1&amp;"*"
)
&amp;" ("&amp;
SUMPRODUCT(
 (Matches!$A$2:$A$200=$A28) *
 ((Matches!$C$2:$C$200=H$1)+(Matches!$D$2:$D$200=H$1)) *
 Matches!$G$2:$G$200
)
+
SUMPRODUCT(
 (Matches!$A$2:$A$200=$A28) *
 ((Matches!$E$2:$E$200=H$1)+(Matches!$F$2:$F$200=H$1)) *
 Matches!$H$2:$H$200
)
&amp;")"</f>
        <v>0 (14)</v>
      </c>
      <c r="I28" t="str" cm="1">
        <f t="array" ref="I28">COUNTIFS(
 Matches!$A$2:$A$200,$A28,
 Matches!$I$2:$I$200,"*"&amp;I$1&amp;"*"
)
&amp;" ("&amp;
SUMPRODUCT(
 (Matches!$A$2:$A$200=$A28) *
 ((Matches!$C$2:$C$200=I$1)+(Matches!$D$2:$D$200=I$1)) *
 Matches!$G$2:$G$200
)
+
SUMPRODUCT(
 (Matches!$A$2:$A$200=$A28) *
 ((Matches!$E$2:$E$200=I$1)+(Matches!$F$2:$F$200=I$1)) *
 Matches!$H$2:$H$200
)
&amp;")"</f>
        <v>2 (29)</v>
      </c>
    </row>
    <row r="29" spans="1:10" x14ac:dyDescent="0.35">
      <c r="A29" t="str">
        <f t="shared" ref="A29:A32" si="3">"R"&amp;TEXT(B29,"yyyymmdd")&amp;"-"&amp;COUNTIFS($B:$B,B29,$C:$C,"&lt;="&amp;C29)</f>
        <v>R20260427-1</v>
      </c>
      <c r="B29" s="1">
        <v>46139</v>
      </c>
      <c r="C29" s="2">
        <v>0</v>
      </c>
      <c r="E29" s="3">
        <f t="shared" si="1"/>
        <v>0</v>
      </c>
      <c r="F29" t="str" cm="1">
        <f t="array" ref="F29">COUNTIFS(
 Matches!$A$2:$A$200,$A29,
 Matches!$I$2:$I$200,"*"&amp;F$1&amp;"*"
)
&amp;" ("&amp;
SUMPRODUCT(
 (Matches!$A$2:$A$200=$A29) *
 ((Matches!$C$2:$C$200=F$1)+(Matches!$D$2:$D$200=F$1)) *
 Matches!$G$2:$G$200
)
+
SUMPRODUCT(
 (Matches!$A$2:$A$200=$A29) *
 ((Matches!$E$2:$E$200=F$1)+(Matches!$F$2:$F$200=F$1)) *
 Matches!$H$2:$H$200
)
&amp;")"</f>
        <v>2 (24)</v>
      </c>
      <c r="G29" t="str" cm="1">
        <f t="array" ref="G29">COUNTIFS(
 Matches!$A$2:$A$200,$A29,
 Matches!$I$2:$I$200,"*"&amp;G$1&amp;"*"
)
&amp;" ("&amp;
SUMPRODUCT(
 (Matches!$A$2:$A$200=$A29) *
 ((Matches!$C$2:$C$200=G$1)+(Matches!$D$2:$D$200=G$1)) *
 Matches!$G$2:$G$200
)
+
SUMPRODUCT(
 (Matches!$A$2:$A$200=$A29) *
 ((Matches!$E$2:$E$200=G$1)+(Matches!$F$2:$F$200=G$1)) *
 Matches!$H$2:$H$200
)
&amp;")"</f>
        <v>2 (29)</v>
      </c>
      <c r="H29" t="str" cm="1">
        <f t="array" ref="H29">COUNTIFS(
 Matches!$A$2:$A$200,$A29,
 Matches!$I$2:$I$200,"*"&amp;H$1&amp;"*"
)
&amp;" ("&amp;
SUMPRODUCT(
 (Matches!$A$2:$A$200=$A29) *
 ((Matches!$C$2:$C$200=H$1)+(Matches!$D$2:$D$200=H$1)) *
 Matches!$G$2:$G$200
)
+
SUMPRODUCT(
 (Matches!$A$2:$A$200=$A29) *
 ((Matches!$E$2:$E$200=H$1)+(Matches!$F$2:$F$200=H$1)) *
 Matches!$H$2:$H$200
)
&amp;")"</f>
        <v>2 (25)</v>
      </c>
      <c r="I29" t="str" cm="1">
        <f t="array" ref="I29">COUNTIFS(
 Matches!$A$2:$A$200,$A29,
 Matches!$I$2:$I$200,"*"&amp;I$1&amp;"*"
)
&amp;" ("&amp;
SUMPRODUCT(
 (Matches!$A$2:$A$200=$A29) *
 ((Matches!$C$2:$C$200=I$1)+(Matches!$D$2:$D$200=I$1)) *
 Matches!$G$2:$G$200
)
+
SUMPRODUCT(
 (Matches!$A$2:$A$200=$A29) *
 ((Matches!$E$2:$E$200=I$1)+(Matches!$F$2:$F$200=I$1)) *
 Matches!$H$2:$H$200
)
&amp;")"</f>
        <v>0 (18)</v>
      </c>
    </row>
    <row r="30" spans="1:10" x14ac:dyDescent="0.35">
      <c r="A30" t="str">
        <f t="shared" si="3"/>
        <v>R20260427-2</v>
      </c>
      <c r="B30" s="1">
        <v>46139</v>
      </c>
      <c r="C30" s="2">
        <v>4.1666666666666664E-2</v>
      </c>
      <c r="E30" s="3">
        <f t="shared" si="1"/>
        <v>0.95833333333333337</v>
      </c>
      <c r="F30" t="str" cm="1">
        <f t="array" ref="F30">COUNTIFS(
 Matches!$A$2:$A$200,$A30,
 Matches!$I$2:$I$200,"*"&amp;F$1&amp;"*"
)
&amp;" ("&amp;
SUMPRODUCT(
 (Matches!$A$2:$A$200=$A30) *
 ((Matches!$C$2:$C$200=F$1)+(Matches!$D$2:$D$200=F$1)) *
 Matches!$G$2:$G$200
)
+
SUMPRODUCT(
 (Matches!$A$2:$A$200=$A30) *
 ((Matches!$E$2:$E$200=F$1)+(Matches!$F$2:$F$200=F$1)) *
 Matches!$H$2:$H$200
)
&amp;")"</f>
        <v>1 (18)</v>
      </c>
      <c r="G30" t="str" cm="1">
        <f t="array" ref="G30">COUNTIFS(
 Matches!$A$2:$A$200,$A30,
 Matches!$I$2:$I$200,"*"&amp;G$1&amp;"*"
)
&amp;" ("&amp;
SUMPRODUCT(
 (Matches!$A$2:$A$200=$A30) *
 ((Matches!$C$2:$C$200=G$1)+(Matches!$D$2:$D$200=G$1)) *
 Matches!$G$2:$G$200
)
+
SUMPRODUCT(
 (Matches!$A$2:$A$200=$A30) *
 ((Matches!$E$2:$E$200=G$1)+(Matches!$F$2:$F$200=G$1)) *
 Matches!$H$2:$H$200
)
&amp;")"</f>
        <v>3 (30)</v>
      </c>
      <c r="H30" t="str" cm="1">
        <f t="array" ref="H30">COUNTIFS(
 Matches!$A$2:$A$200,$A30,
 Matches!$I$2:$I$200,"*"&amp;H$1&amp;"*"
)
&amp;" ("&amp;
SUMPRODUCT(
 (Matches!$A$2:$A$200=$A30) *
 ((Matches!$C$2:$C$200=H$1)+(Matches!$D$2:$D$200=H$1)) *
 Matches!$G$2:$G$200
)
+
SUMPRODUCT(
 (Matches!$A$2:$A$200=$A30) *
 ((Matches!$E$2:$E$200=H$1)+(Matches!$F$2:$F$200=H$1)) *
 Matches!$H$2:$H$200
)
&amp;")"</f>
        <v>1 (19)</v>
      </c>
      <c r="I30" t="str" cm="1">
        <f t="array" ref="I30">COUNTIFS(
 Matches!$A$2:$A$200,$A30,
 Matches!$I$2:$I$200,"*"&amp;I$1&amp;"*"
)
&amp;" ("&amp;
SUMPRODUCT(
 (Matches!$A$2:$A$200=$A30) *
 ((Matches!$C$2:$C$200=I$1)+(Matches!$D$2:$D$200=I$1)) *
 Matches!$G$2:$G$200
)
+
SUMPRODUCT(
 (Matches!$A$2:$A$200=$A30) *
 ((Matches!$E$2:$E$200=I$1)+(Matches!$F$2:$F$200=I$1)) *
 Matches!$H$2:$H$200
)
&amp;")"</f>
        <v>1 (13)</v>
      </c>
    </row>
    <row r="31" spans="1:10" x14ac:dyDescent="0.35">
      <c r="A31" t="str">
        <f t="shared" si="3"/>
        <v>R20260529-1</v>
      </c>
      <c r="B31" s="1">
        <v>46171</v>
      </c>
      <c r="C31" s="2">
        <v>0.5</v>
      </c>
      <c r="E31" s="3">
        <f t="shared" si="1"/>
        <v>0.5</v>
      </c>
      <c r="F31" t="str" cm="1">
        <f t="array" ref="F31">COUNTIFS(
 Matches!$A$2:$A$200,$A31,
 Matches!$I$2:$I$200,"*"&amp;F$1&amp;"*"
)
&amp;" ("&amp;
SUMPRODUCT(
 (Matches!$A$2:$A$200=$A31) *
 ((Matches!$C$2:$C$200=F$1)+(Matches!$D$2:$D$200=F$1)) *
 Matches!$G$2:$G$200
)
+
SUMPRODUCT(
 (Matches!$A$2:$A$200=$A31) *
 ((Matches!$E$2:$E$200=F$1)+(Matches!$F$2:$F$200=F$1)) *
 Matches!$H$2:$H$200
)
&amp;")"</f>
        <v>2 (26)</v>
      </c>
      <c r="G31" t="str" cm="1">
        <f t="array" ref="G31">COUNTIFS(
 Matches!$A$2:$A$200,$A31,
 Matches!$I$2:$I$200,"*"&amp;G$1&amp;"*"
)
&amp;" ("&amp;
SUMPRODUCT(
 (Matches!$A$2:$A$200=$A31) *
 ((Matches!$C$2:$C$200=G$1)+(Matches!$D$2:$D$200=G$1)) *
 Matches!$G$2:$G$200
)
+
SUMPRODUCT(
 (Matches!$A$2:$A$200=$A31) *
 ((Matches!$E$2:$E$200=G$1)+(Matches!$F$2:$F$200=G$1)) *
 Matches!$H$2:$H$200
)
&amp;")"</f>
        <v>2 (27)</v>
      </c>
      <c r="H31" t="str" cm="1">
        <f t="array" ref="H31">COUNTIFS(
 Matches!$A$2:$A$200,$A31,
 Matches!$I$2:$I$200,"*"&amp;H$1&amp;"*"
)
&amp;" ("&amp;
SUMPRODUCT(
 (Matches!$A$2:$A$200=$A31) *
 ((Matches!$C$2:$C$200=H$1)+(Matches!$D$2:$D$200=H$1)) *
 Matches!$G$2:$G$200
)
+
SUMPRODUCT(
 (Matches!$A$2:$A$200=$A31) *
 ((Matches!$E$2:$E$200=H$1)+(Matches!$F$2:$F$200=H$1)) *
 Matches!$H$2:$H$200
)
&amp;")"</f>
        <v>2 (27)</v>
      </c>
      <c r="I31" t="str" cm="1">
        <f t="array" ref="I31">COUNTIFS(
 Matches!$A$2:$A$200,$A31,
 Matches!$I$2:$I$200,"*"&amp;I$1&amp;"*"
)
&amp;" ("&amp;
SUMPRODUCT(
 (Matches!$A$2:$A$200=$A31) *
 ((Matches!$C$2:$C$200=I$1)+(Matches!$D$2:$D$200=I$1)) *
 Matches!$G$2:$G$200
)
+
SUMPRODUCT(
 (Matches!$A$2:$A$200=$A31) *
 ((Matches!$E$2:$E$200=I$1)+(Matches!$F$2:$F$200=I$1)) *
 Matches!$H$2:$H$200
)
&amp;")"</f>
        <v>0 (20)</v>
      </c>
    </row>
    <row r="32" spans="1:10" x14ac:dyDescent="0.35">
      <c r="A32" t="str">
        <f t="shared" si="3"/>
        <v>R20260725-1</v>
      </c>
      <c r="B32" s="1">
        <v>46228</v>
      </c>
      <c r="C32" s="2">
        <v>12</v>
      </c>
      <c r="E32" s="3">
        <f t="shared" si="1"/>
        <v>0</v>
      </c>
      <c r="F32" t="str" cm="1">
        <f t="array" ref="F32">COUNTIFS(
 Matches!$A$2:$A$200,$A32,
 Matches!$I$2:$I$200,"*"&amp;F$1&amp;"*"
)
&amp;" ("&amp;
SUMPRODUCT(
 (Matches!$A$2:$A$200=$A32) *
 ((Matches!$C$2:$C$200=F$1)+(Matches!$D$2:$D$200=F$1)) *
 Matches!$G$2:$G$200
)
+
SUMPRODUCT(
 (Matches!$A$2:$A$200=$A32) *
 ((Matches!$E$2:$E$200=F$1)+(Matches!$F$2:$F$200=F$1)) *
 Matches!$H$2:$H$200
)
&amp;")"</f>
        <v>2 (27)</v>
      </c>
      <c r="G32" t="str" cm="1">
        <f t="array" ref="G32">COUNTIFS(
 Matches!$A$2:$A$200,$A32,
 Matches!$I$2:$I$200,"*"&amp;G$1&amp;"*"
)
&amp;" ("&amp;
SUMPRODUCT(
 (Matches!$A$2:$A$200=$A32) *
 ((Matches!$C$2:$C$200=G$1)+(Matches!$D$2:$D$200=G$1)) *
 Matches!$G$2:$G$200
)
+
SUMPRODUCT(
 (Matches!$A$2:$A$200=$A32) *
 ((Matches!$E$2:$E$200=G$1)+(Matches!$F$2:$F$200=G$1)) *
 Matches!$H$2:$H$200
)
&amp;")"</f>
        <v>2 (26)</v>
      </c>
      <c r="H32" t="str" cm="1">
        <f t="array" ref="H32">COUNTIFS(
 Matches!$A$2:$A$200,$A32,
 Matches!$I$2:$I$200,"*"&amp;H$1&amp;"*"
)
&amp;" ("&amp;
SUMPRODUCT(
 (Matches!$A$2:$A$200=$A32) *
 ((Matches!$C$2:$C$200=H$1)+(Matches!$D$2:$D$200=H$1)) *
 Matches!$G$2:$G$200
)
+
SUMPRODUCT(
 (Matches!$A$2:$A$200=$A32) *
 ((Matches!$E$2:$E$200=H$1)+(Matches!$F$2:$F$200=H$1)) *
 Matches!$H$2:$H$200
)
&amp;")"</f>
        <v>2 (26)</v>
      </c>
      <c r="I32" t="str" cm="1">
        <f t="array" ref="I32">COUNTIFS(
 Matches!$A$2:$A$200,$A32,
 Matches!$I$2:$I$200,"*"&amp;I$1&amp;"*"
)
&amp;" ("&amp;
SUMPRODUCT(
 (Matches!$A$2:$A$200=$A32) *
 ((Matches!$C$2:$C$200=I$1)+(Matches!$D$2:$D$200=I$1)) *
 Matches!$G$2:$G$200
)
+
SUMPRODUCT(
 (Matches!$A$2:$A$200=$A32) *
 ((Matches!$E$2:$E$200=I$1)+(Matches!$F$2:$F$200=I$1)) *
 Matches!$H$2:$H$200
)
&amp;")"</f>
        <v>0 (19)</v>
      </c>
      <c r="J32" t="s">
        <v>101</v>
      </c>
    </row>
    <row r="33" spans="1:10" x14ac:dyDescent="0.35">
      <c r="A33" t="s">
        <v>103</v>
      </c>
      <c r="B33" s="1">
        <v>46268</v>
      </c>
      <c r="F33" t="str" cm="1">
        <f t="array" ref="F33">COUNTIFS(
 Matches!$A$2:$A$200,$A33,
 Matches!$I$2:$I$200,"*"&amp;F$1&amp;"*"
)
&amp;" ("&amp;
SUMPRODUCT(
 (Matches!$A$2:$A$200=$A33) *
 ((Matches!$C$2:$C$200=F$1)+(Matches!$D$2:$D$200=F$1)) *
 Matches!$G$2:$G$200
)
+
SUMPRODUCT(
 (Matches!$A$2:$A$200=$A33) *
 ((Matches!$E$2:$E$200=F$1)+(Matches!$F$2:$F$200=F$1)) *
 Matches!$H$2:$H$200
)
&amp;")"</f>
        <v>0 (14)</v>
      </c>
      <c r="G33" t="str" cm="1">
        <f t="array" ref="G33">COUNTIFS(
 Matches!$A$2:$A$200,$A33,
 Matches!$I$2:$I$200,"*"&amp;G$1&amp;"*"
)
&amp;" ("&amp;
SUMPRODUCT(
 (Matches!$A$2:$A$200=$A33) *
 ((Matches!$C$2:$C$200=G$1)+(Matches!$D$2:$D$200=G$1)) *
 Matches!$G$2:$G$200
)
+
SUMPRODUCT(
 (Matches!$A$2:$A$200=$A33) *
 ((Matches!$E$2:$E$200=G$1)+(Matches!$F$2:$F$200=G$1)) *
 Matches!$H$2:$H$200
)
&amp;")"</f>
        <v>2 (20)</v>
      </c>
      <c r="H33" t="str" cm="1">
        <f t="array" ref="H33">COUNTIFS(
 Matches!$A$2:$A$200,$A33,
 Matches!$I$2:$I$200,"*"&amp;H$1&amp;"*"
)
&amp;" ("&amp;
SUMPRODUCT(
 (Matches!$A$2:$A$200=$A33) *
 ((Matches!$C$2:$C$200=H$1)+(Matches!$D$2:$D$200=H$1)) *
 Matches!$G$2:$G$200
)
+
SUMPRODUCT(
 (Matches!$A$2:$A$200=$A33) *
 ((Matches!$E$2:$E$200=H$1)+(Matches!$F$2:$F$200=H$1)) *
 Matches!$H$2:$H$200
)
&amp;")"</f>
        <v>1 (18)</v>
      </c>
      <c r="I33" t="str" cm="1">
        <f t="array" ref="I33">COUNTIFS(
 Matches!$A$2:$A$200,$A33,
 Matches!$I$2:$I$200,"*"&amp;I$1&amp;"*"
)
&amp;" ("&amp;
SUMPRODUCT(
 (Matches!$A$2:$A$200=$A33) *
 ((Matches!$C$2:$C$200=I$1)+(Matches!$D$2:$D$200=I$1)) *
 Matches!$G$2:$G$200
)
+
SUMPRODUCT(
 (Matches!$A$2:$A$200=$A33) *
 ((Matches!$E$2:$E$200=I$1)+(Matches!$F$2:$F$200=I$1)) *
 Matches!$H$2:$H$200
)
&amp;")"</f>
        <v>1 (16)</v>
      </c>
    </row>
  </sheetData>
  <conditionalFormatting sqref="F2:I33">
    <cfRule type="expression" dxfId="10" priority="1">
      <formula>LEFT(F2,1)="0"</formula>
    </cfRule>
    <cfRule type="expression" dxfId="9" priority="2">
      <formula>LEFT(F2,1)="+$G$03"</formula>
    </cfRule>
    <cfRule type="expression" dxfId="8" priority="3">
      <formula>LEFT(F2,1)="3"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allowBlank="1" showInputMessage="1" showErrorMessage="1" prompt="&lt;matches won&gt; (&lt;stone given&gt;)_x000a_" sqref="F1:I1" xr:uid="{EF33B18D-4EDB-47FA-BE6F-933149CDEC86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F95CC-DDBC-4D0D-92B0-0E6D3AF66C09}">
  <dimension ref="A1:K95"/>
  <sheetViews>
    <sheetView zoomScale="130" zoomScaleNormal="130" workbookViewId="0">
      <pane ySplit="1" topLeftCell="A56" activePane="bottomLeft" state="frozen"/>
      <selection pane="bottomLeft" activeCell="I93" sqref="I93"/>
    </sheetView>
  </sheetViews>
  <sheetFormatPr defaultRowHeight="14.5" x14ac:dyDescent="0.35"/>
  <cols>
    <col min="1" max="1" width="12.90625" customWidth="1"/>
    <col min="2" max="2" width="9.453125" customWidth="1"/>
    <col min="3" max="3" width="10.81640625" customWidth="1"/>
    <col min="4" max="4" width="11.08984375" customWidth="1"/>
    <col min="5" max="5" width="10.453125" customWidth="1"/>
    <col min="6" max="6" width="10.08984375" customWidth="1"/>
    <col min="7" max="8" width="8.7265625" style="4"/>
    <col min="10" max="10" width="29.7265625" customWidth="1"/>
    <col min="11" max="11" width="14.08984375" customWidth="1"/>
  </cols>
  <sheetData>
    <row r="1" spans="1:11" x14ac:dyDescent="0.35">
      <c r="A1" t="s">
        <v>17</v>
      </c>
      <c r="B1" t="s">
        <v>16</v>
      </c>
      <c r="C1" t="s">
        <v>4</v>
      </c>
      <c r="D1" t="s">
        <v>5</v>
      </c>
      <c r="E1" t="s">
        <v>6</v>
      </c>
      <c r="F1" t="s">
        <v>7</v>
      </c>
      <c r="G1" s="4" t="s">
        <v>8</v>
      </c>
      <c r="H1" s="4" t="s">
        <v>9</v>
      </c>
      <c r="I1" t="s">
        <v>10</v>
      </c>
      <c r="J1" t="s">
        <v>11</v>
      </c>
      <c r="K1" t="s">
        <v>68</v>
      </c>
    </row>
    <row r="2" spans="1:11" x14ac:dyDescent="0.35">
      <c r="A2" t="s">
        <v>18</v>
      </c>
      <c r="B2">
        <f>COUNTIF($A$2:A2, A2)</f>
        <v>1</v>
      </c>
      <c r="C2" t="s">
        <v>12</v>
      </c>
      <c r="D2" t="s">
        <v>13</v>
      </c>
      <c r="E2" t="s">
        <v>14</v>
      </c>
      <c r="F2" t="s">
        <v>15</v>
      </c>
      <c r="G2" s="4">
        <v>6</v>
      </c>
      <c r="H2" s="4">
        <v>10</v>
      </c>
      <c r="I2" t="str">
        <f>IF(G2&gt;H2,
   IF(C2&lt;D2, C2&amp;"/"&amp;D2, D2&amp;"/"&amp;C2),
   IF(E2&lt;F2, E2&amp;"/"&amp;F2, F2&amp;"/"&amp;E2)
)</f>
        <v>ML/MN</v>
      </c>
      <c r="K2" t="str">
        <f>_xlfn.CONCAT(A2, "-", B2)</f>
        <v>R20251201-1-1</v>
      </c>
    </row>
    <row r="3" spans="1:11" x14ac:dyDescent="0.35">
      <c r="A3" t="s">
        <v>18</v>
      </c>
      <c r="B3">
        <f>COUNTIF($A$2:A3, A3)</f>
        <v>2</v>
      </c>
      <c r="C3" t="s">
        <v>13</v>
      </c>
      <c r="D3" t="s">
        <v>15</v>
      </c>
      <c r="E3" t="s">
        <v>14</v>
      </c>
      <c r="F3" t="s">
        <v>12</v>
      </c>
      <c r="G3" s="4">
        <v>5</v>
      </c>
      <c r="H3" s="4">
        <v>10</v>
      </c>
      <c r="I3" t="str">
        <f t="shared" ref="I3:I93" si="0">IF(G3&gt;H3,
   IF(C3&lt;D3, C3&amp;"/"&amp;D3, D3&amp;"/"&amp;C3),
   IF(E3&lt;F3, E3&amp;"/"&amp;F3, F3&amp;"/"&amp;E3)
)</f>
        <v>LX/MN</v>
      </c>
      <c r="K3" t="str">
        <f t="shared" ref="K3:K66" si="1">_xlfn.CONCAT(A3, "-", B3)</f>
        <v>R20251201-1-2</v>
      </c>
    </row>
    <row r="4" spans="1:11" x14ac:dyDescent="0.35">
      <c r="A4" t="s">
        <v>18</v>
      </c>
      <c r="B4">
        <f>COUNTIF($A$2:A4, A4)</f>
        <v>3</v>
      </c>
      <c r="C4" t="s">
        <v>14</v>
      </c>
      <c r="D4" t="s">
        <v>13</v>
      </c>
      <c r="E4" t="s">
        <v>15</v>
      </c>
      <c r="F4" t="s">
        <v>12</v>
      </c>
      <c r="G4" s="4">
        <v>3</v>
      </c>
      <c r="H4" s="4">
        <v>10</v>
      </c>
      <c r="I4" t="str">
        <f t="shared" si="0"/>
        <v>LX/ML</v>
      </c>
      <c r="K4" t="str">
        <f t="shared" si="1"/>
        <v>R20251201-1-3</v>
      </c>
    </row>
    <row r="5" spans="1:11" x14ac:dyDescent="0.35">
      <c r="A5" t="s">
        <v>19</v>
      </c>
      <c r="B5">
        <f>COUNTIF($A$2:A5, A5)</f>
        <v>1</v>
      </c>
      <c r="C5" t="s">
        <v>13</v>
      </c>
      <c r="D5" t="s">
        <v>14</v>
      </c>
      <c r="E5" t="s">
        <v>15</v>
      </c>
      <c r="F5" t="s">
        <v>12</v>
      </c>
      <c r="G5" s="4">
        <v>9</v>
      </c>
      <c r="H5" s="4">
        <v>10</v>
      </c>
      <c r="I5" t="str">
        <f t="shared" si="0"/>
        <v>LX/ML</v>
      </c>
      <c r="K5" t="str">
        <f t="shared" si="1"/>
        <v>R20251215-1-1</v>
      </c>
    </row>
    <row r="6" spans="1:11" x14ac:dyDescent="0.35">
      <c r="A6" t="s">
        <v>19</v>
      </c>
      <c r="B6">
        <f>COUNTIF($A$2:A6, A6)</f>
        <v>2</v>
      </c>
      <c r="C6" t="s">
        <v>13</v>
      </c>
      <c r="D6" t="s">
        <v>12</v>
      </c>
      <c r="E6" t="s">
        <v>15</v>
      </c>
      <c r="F6" t="s">
        <v>14</v>
      </c>
      <c r="G6" s="4">
        <v>9</v>
      </c>
      <c r="H6" s="4">
        <v>10</v>
      </c>
      <c r="I6" t="str">
        <f t="shared" si="0"/>
        <v>ML/MN</v>
      </c>
      <c r="K6" t="str">
        <f t="shared" si="1"/>
        <v>R20251215-1-2</v>
      </c>
    </row>
    <row r="7" spans="1:11" x14ac:dyDescent="0.35">
      <c r="A7" t="s">
        <v>19</v>
      </c>
      <c r="B7">
        <f>COUNTIF($A$2:A7, A7)</f>
        <v>3</v>
      </c>
      <c r="C7" t="s">
        <v>12</v>
      </c>
      <c r="D7" t="s">
        <v>14</v>
      </c>
      <c r="E7" t="s">
        <v>15</v>
      </c>
      <c r="F7" t="s">
        <v>13</v>
      </c>
      <c r="G7" s="4">
        <v>3</v>
      </c>
      <c r="H7" s="4">
        <v>10</v>
      </c>
      <c r="I7" t="str">
        <f t="shared" si="0"/>
        <v>ML/VM</v>
      </c>
      <c r="K7" t="str">
        <f t="shared" si="1"/>
        <v>R20251215-1-3</v>
      </c>
    </row>
    <row r="8" spans="1:11" x14ac:dyDescent="0.35">
      <c r="A8" t="s">
        <v>20</v>
      </c>
      <c r="B8">
        <f>COUNTIF($A$2:A8, A8)</f>
        <v>1</v>
      </c>
      <c r="C8" t="s">
        <v>14</v>
      </c>
      <c r="D8" t="s">
        <v>12</v>
      </c>
      <c r="E8" t="s">
        <v>15</v>
      </c>
      <c r="F8" t="s">
        <v>13</v>
      </c>
      <c r="G8" s="4">
        <v>9</v>
      </c>
      <c r="H8" s="4">
        <v>10</v>
      </c>
      <c r="I8" t="str">
        <f t="shared" si="0"/>
        <v>ML/VM</v>
      </c>
      <c r="K8" t="str">
        <f t="shared" si="1"/>
        <v>R20251229-1-1</v>
      </c>
    </row>
    <row r="9" spans="1:11" x14ac:dyDescent="0.35">
      <c r="A9" t="s">
        <v>20</v>
      </c>
      <c r="B9">
        <f>COUNTIF($A$2:A9, A9)</f>
        <v>2</v>
      </c>
      <c r="C9" t="s">
        <v>15</v>
      </c>
      <c r="D9" t="s">
        <v>12</v>
      </c>
      <c r="E9" t="s">
        <v>13</v>
      </c>
      <c r="F9" t="s">
        <v>14</v>
      </c>
      <c r="G9" s="4">
        <v>2</v>
      </c>
      <c r="H9" s="4">
        <v>10</v>
      </c>
      <c r="I9" t="str">
        <f t="shared" si="0"/>
        <v>MN/VM</v>
      </c>
      <c r="K9" t="str">
        <f t="shared" si="1"/>
        <v>R20251229-1-2</v>
      </c>
    </row>
    <row r="10" spans="1:11" x14ac:dyDescent="0.35">
      <c r="A10" t="s">
        <v>20</v>
      </c>
      <c r="B10">
        <f>COUNTIF($A$2:A10, A10)</f>
        <v>3</v>
      </c>
      <c r="C10" t="s">
        <v>13</v>
      </c>
      <c r="D10" t="s">
        <v>12</v>
      </c>
      <c r="E10" t="s">
        <v>15</v>
      </c>
      <c r="F10" t="s">
        <v>14</v>
      </c>
      <c r="G10" s="4">
        <v>6</v>
      </c>
      <c r="H10" s="4">
        <v>10</v>
      </c>
      <c r="I10" t="str">
        <f t="shared" si="0"/>
        <v>ML/MN</v>
      </c>
      <c r="K10" t="str">
        <f t="shared" si="1"/>
        <v>R20251229-1-3</v>
      </c>
    </row>
    <row r="11" spans="1:11" x14ac:dyDescent="0.35">
      <c r="A11" t="s">
        <v>21</v>
      </c>
      <c r="B11">
        <f>COUNTIF($A$2:A11, A11)</f>
        <v>1</v>
      </c>
      <c r="C11" t="s">
        <v>13</v>
      </c>
      <c r="D11" t="s">
        <v>12</v>
      </c>
      <c r="E11" t="s">
        <v>15</v>
      </c>
      <c r="F11" t="s">
        <v>14</v>
      </c>
      <c r="G11" s="4">
        <v>9</v>
      </c>
      <c r="H11" s="4">
        <v>10</v>
      </c>
      <c r="I11" t="str">
        <f t="shared" si="0"/>
        <v>ML/MN</v>
      </c>
      <c r="K11" t="str">
        <f t="shared" si="1"/>
        <v>R20251229-2-1</v>
      </c>
    </row>
    <row r="12" spans="1:11" x14ac:dyDescent="0.35">
      <c r="A12" t="s">
        <v>21</v>
      </c>
      <c r="B12">
        <f>COUNTIF($A$2:A12, A12)</f>
        <v>2</v>
      </c>
      <c r="C12" t="s">
        <v>14</v>
      </c>
      <c r="D12" t="s">
        <v>13</v>
      </c>
      <c r="E12" t="s">
        <v>15</v>
      </c>
      <c r="F12" t="s">
        <v>12</v>
      </c>
      <c r="G12" s="4">
        <v>6</v>
      </c>
      <c r="H12" s="4">
        <v>10</v>
      </c>
      <c r="I12" t="str">
        <f t="shared" si="0"/>
        <v>LX/ML</v>
      </c>
      <c r="K12" t="str">
        <f t="shared" si="1"/>
        <v>R20251229-2-2</v>
      </c>
    </row>
    <row r="13" spans="1:11" x14ac:dyDescent="0.35">
      <c r="A13" t="s">
        <v>21</v>
      </c>
      <c r="B13">
        <f>COUNTIF($A$2:A13, A13)</f>
        <v>3</v>
      </c>
      <c r="C13" t="s">
        <v>15</v>
      </c>
      <c r="D13" t="s">
        <v>13</v>
      </c>
      <c r="E13" t="s">
        <v>14</v>
      </c>
      <c r="F13" t="s">
        <v>12</v>
      </c>
      <c r="G13" s="4">
        <v>5</v>
      </c>
      <c r="H13" s="4">
        <v>10</v>
      </c>
      <c r="I13" t="str">
        <f t="shared" si="0"/>
        <v>LX/MN</v>
      </c>
      <c r="K13" t="str">
        <f t="shared" si="1"/>
        <v>R20251229-2-3</v>
      </c>
    </row>
    <row r="14" spans="1:11" x14ac:dyDescent="0.35">
      <c r="A14" t="s">
        <v>22</v>
      </c>
      <c r="B14">
        <f>COUNTIF($A$2:A14, A14)</f>
        <v>1</v>
      </c>
      <c r="C14" t="s">
        <v>13</v>
      </c>
      <c r="D14" t="s">
        <v>12</v>
      </c>
      <c r="E14" t="s">
        <v>15</v>
      </c>
      <c r="F14" t="s">
        <v>14</v>
      </c>
      <c r="G14" s="4">
        <v>2</v>
      </c>
      <c r="H14" s="4">
        <v>10</v>
      </c>
      <c r="I14" t="str">
        <f t="shared" si="0"/>
        <v>ML/MN</v>
      </c>
      <c r="K14" t="str">
        <f t="shared" si="1"/>
        <v>R20260105-1-1</v>
      </c>
    </row>
    <row r="15" spans="1:11" x14ac:dyDescent="0.35">
      <c r="A15" t="s">
        <v>22</v>
      </c>
      <c r="B15">
        <f>COUNTIF($A$2:A15, A15)</f>
        <v>2</v>
      </c>
      <c r="C15" t="s">
        <v>13</v>
      </c>
      <c r="D15" t="s">
        <v>14</v>
      </c>
      <c r="E15" t="s">
        <v>15</v>
      </c>
      <c r="F15" t="s">
        <v>12</v>
      </c>
      <c r="G15" s="4">
        <v>5</v>
      </c>
      <c r="H15" s="4">
        <v>10</v>
      </c>
      <c r="I15" t="str">
        <f t="shared" si="0"/>
        <v>LX/ML</v>
      </c>
      <c r="K15" t="str">
        <f t="shared" si="1"/>
        <v>R20260105-1-2</v>
      </c>
    </row>
    <row r="16" spans="1:11" x14ac:dyDescent="0.35">
      <c r="A16" t="s">
        <v>22</v>
      </c>
      <c r="B16">
        <f>COUNTIF($A$2:A16, A16)</f>
        <v>3</v>
      </c>
      <c r="C16" t="s">
        <v>13</v>
      </c>
      <c r="D16" t="s">
        <v>15</v>
      </c>
      <c r="E16" t="s">
        <v>12</v>
      </c>
      <c r="F16" t="s">
        <v>14</v>
      </c>
      <c r="G16" s="4">
        <v>6</v>
      </c>
      <c r="H16" s="4">
        <v>10</v>
      </c>
      <c r="I16" t="str">
        <f t="shared" si="0"/>
        <v>LX/MN</v>
      </c>
      <c r="K16" t="str">
        <f t="shared" si="1"/>
        <v>R20260105-1-3</v>
      </c>
    </row>
    <row r="17" spans="1:11" x14ac:dyDescent="0.35">
      <c r="A17" t="s">
        <v>23</v>
      </c>
      <c r="B17">
        <f>COUNTIF($A$2:A17, A17)</f>
        <v>1</v>
      </c>
      <c r="C17" t="s">
        <v>15</v>
      </c>
      <c r="D17" t="s">
        <v>13</v>
      </c>
      <c r="E17" t="s">
        <v>14</v>
      </c>
      <c r="F17" t="s">
        <v>12</v>
      </c>
      <c r="G17" s="4">
        <v>2</v>
      </c>
      <c r="H17" s="4">
        <v>10</v>
      </c>
      <c r="I17" t="str">
        <f t="shared" si="0"/>
        <v>LX/MN</v>
      </c>
      <c r="K17" t="str">
        <f t="shared" si="1"/>
        <v>R20260105-2-1</v>
      </c>
    </row>
    <row r="18" spans="1:11" x14ac:dyDescent="0.35">
      <c r="A18" t="s">
        <v>23</v>
      </c>
      <c r="B18">
        <f>COUNTIF($A$2:A18, A18)</f>
        <v>2</v>
      </c>
      <c r="C18" t="s">
        <v>15</v>
      </c>
      <c r="D18" t="s">
        <v>14</v>
      </c>
      <c r="E18" t="s">
        <v>12</v>
      </c>
      <c r="F18" t="s">
        <v>13</v>
      </c>
      <c r="G18" s="4">
        <v>6</v>
      </c>
      <c r="H18" s="4">
        <v>10</v>
      </c>
      <c r="I18" t="str">
        <f t="shared" si="0"/>
        <v>LX/VM</v>
      </c>
      <c r="K18" t="str">
        <f t="shared" si="1"/>
        <v>R20260105-2-2</v>
      </c>
    </row>
    <row r="19" spans="1:11" x14ac:dyDescent="0.35">
      <c r="A19" t="s">
        <v>23</v>
      </c>
      <c r="B19">
        <f>COUNTIF($A$2:A19, A19)</f>
        <v>3</v>
      </c>
      <c r="C19" t="s">
        <v>15</v>
      </c>
      <c r="D19" t="s">
        <v>12</v>
      </c>
      <c r="E19" t="s">
        <v>13</v>
      </c>
      <c r="F19" t="s">
        <v>14</v>
      </c>
      <c r="G19" s="4">
        <v>4</v>
      </c>
      <c r="H19" s="4">
        <v>10</v>
      </c>
      <c r="I19" t="str">
        <f t="shared" si="0"/>
        <v>MN/VM</v>
      </c>
      <c r="K19" t="str">
        <f t="shared" si="1"/>
        <v>R20260105-2-3</v>
      </c>
    </row>
    <row r="20" spans="1:11" x14ac:dyDescent="0.35">
      <c r="A20" t="s">
        <v>24</v>
      </c>
      <c r="B20">
        <f>COUNTIF($A$2:A20, A20)</f>
        <v>1</v>
      </c>
      <c r="C20" t="s">
        <v>15</v>
      </c>
      <c r="D20" t="s">
        <v>13</v>
      </c>
      <c r="E20" t="s">
        <v>12</v>
      </c>
      <c r="F20" t="s">
        <v>14</v>
      </c>
      <c r="G20" s="4">
        <v>7</v>
      </c>
      <c r="H20" s="4">
        <v>10</v>
      </c>
      <c r="I20" t="str">
        <f t="shared" si="0"/>
        <v>LX/MN</v>
      </c>
      <c r="K20" t="str">
        <f t="shared" si="1"/>
        <v>R20260112-1-1</v>
      </c>
    </row>
    <row r="21" spans="1:11" x14ac:dyDescent="0.35">
      <c r="A21" t="s">
        <v>24</v>
      </c>
      <c r="B21">
        <f>COUNTIF($A$2:A21, A21)</f>
        <v>2</v>
      </c>
      <c r="C21" t="s">
        <v>14</v>
      </c>
      <c r="D21" t="s">
        <v>13</v>
      </c>
      <c r="E21" t="s">
        <v>15</v>
      </c>
      <c r="F21" t="s">
        <v>12</v>
      </c>
      <c r="G21" s="4">
        <v>6</v>
      </c>
      <c r="H21" s="4">
        <v>10</v>
      </c>
      <c r="I21" t="str">
        <f t="shared" si="0"/>
        <v>LX/ML</v>
      </c>
      <c r="K21" t="str">
        <f t="shared" si="1"/>
        <v>R20260112-1-2</v>
      </c>
    </row>
    <row r="22" spans="1:11" x14ac:dyDescent="0.35">
      <c r="A22" t="s">
        <v>24</v>
      </c>
      <c r="B22">
        <f>COUNTIF($A$2:A22, A22)</f>
        <v>3</v>
      </c>
      <c r="C22" t="s">
        <v>12</v>
      </c>
      <c r="D22" t="s">
        <v>13</v>
      </c>
      <c r="E22" t="s">
        <v>14</v>
      </c>
      <c r="F22" t="s">
        <v>15</v>
      </c>
      <c r="G22" s="4">
        <v>7</v>
      </c>
      <c r="H22" s="4">
        <v>10</v>
      </c>
      <c r="I22" t="str">
        <f t="shared" si="0"/>
        <v>ML/MN</v>
      </c>
      <c r="K22" t="str">
        <f t="shared" si="1"/>
        <v>R20260112-1-3</v>
      </c>
    </row>
    <row r="23" spans="1:11" x14ac:dyDescent="0.35">
      <c r="A23" t="s">
        <v>25</v>
      </c>
      <c r="B23">
        <f>COUNTIF($A$2:A23, A23)</f>
        <v>1</v>
      </c>
      <c r="C23" t="s">
        <v>15</v>
      </c>
      <c r="D23" t="s">
        <v>13</v>
      </c>
      <c r="E23" t="s">
        <v>12</v>
      </c>
      <c r="F23" t="s">
        <v>14</v>
      </c>
      <c r="G23" s="4">
        <v>2</v>
      </c>
      <c r="H23" s="4">
        <v>10</v>
      </c>
      <c r="I23" t="str">
        <f t="shared" si="0"/>
        <v>LX/MN</v>
      </c>
      <c r="K23" t="str">
        <f t="shared" si="1"/>
        <v>R20260112-2-1</v>
      </c>
    </row>
    <row r="24" spans="1:11" x14ac:dyDescent="0.35">
      <c r="A24" t="s">
        <v>25</v>
      </c>
      <c r="B24">
        <f>COUNTIF($A$2:A24, A24)</f>
        <v>2</v>
      </c>
      <c r="C24" t="s">
        <v>13</v>
      </c>
      <c r="D24" t="s">
        <v>12</v>
      </c>
      <c r="E24" t="s">
        <v>15</v>
      </c>
      <c r="F24" t="s">
        <v>14</v>
      </c>
      <c r="G24" s="4">
        <v>0</v>
      </c>
      <c r="H24" s="4">
        <v>10</v>
      </c>
      <c r="I24" t="str">
        <f t="shared" si="0"/>
        <v>ML/MN</v>
      </c>
      <c r="K24" t="str">
        <f t="shared" si="1"/>
        <v>R20260112-2-2</v>
      </c>
    </row>
    <row r="25" spans="1:11" x14ac:dyDescent="0.35">
      <c r="A25" t="s">
        <v>25</v>
      </c>
      <c r="B25">
        <f>COUNTIF($A$2:A25, A25)</f>
        <v>3</v>
      </c>
      <c r="C25" t="s">
        <v>13</v>
      </c>
      <c r="D25" t="s">
        <v>14</v>
      </c>
      <c r="E25" t="s">
        <v>12</v>
      </c>
      <c r="F25" t="s">
        <v>15</v>
      </c>
      <c r="G25" s="4">
        <v>8</v>
      </c>
      <c r="H25" s="4">
        <v>10</v>
      </c>
      <c r="I25" t="str">
        <f t="shared" si="0"/>
        <v>LX/ML</v>
      </c>
      <c r="K25" t="str">
        <f t="shared" si="1"/>
        <v>R20260112-2-3</v>
      </c>
    </row>
    <row r="26" spans="1:11" x14ac:dyDescent="0.35">
      <c r="A26" t="s">
        <v>26</v>
      </c>
      <c r="B26">
        <f>COUNTIF($A$2:A26, A26)</f>
        <v>1</v>
      </c>
      <c r="C26" t="s">
        <v>15</v>
      </c>
      <c r="D26" t="s">
        <v>13</v>
      </c>
      <c r="E26" t="s">
        <v>12</v>
      </c>
      <c r="F26" t="s">
        <v>14</v>
      </c>
      <c r="G26" s="4">
        <v>2</v>
      </c>
      <c r="H26" s="4">
        <v>10</v>
      </c>
      <c r="I26" t="str">
        <f t="shared" si="0"/>
        <v>LX/MN</v>
      </c>
      <c r="J26" t="s">
        <v>34</v>
      </c>
      <c r="K26" t="str">
        <f t="shared" si="1"/>
        <v>R20260119-1-1</v>
      </c>
    </row>
    <row r="27" spans="1:11" x14ac:dyDescent="0.35">
      <c r="A27" t="s">
        <v>26</v>
      </c>
      <c r="B27">
        <f>COUNTIF($A$2:A27, A27)</f>
        <v>2</v>
      </c>
      <c r="C27" t="s">
        <v>13</v>
      </c>
      <c r="D27" t="s">
        <v>14</v>
      </c>
      <c r="E27" t="s">
        <v>12</v>
      </c>
      <c r="F27" t="s">
        <v>15</v>
      </c>
      <c r="G27" s="4">
        <v>5</v>
      </c>
      <c r="H27" s="4">
        <v>10</v>
      </c>
      <c r="I27" t="str">
        <f t="shared" si="0"/>
        <v>LX/ML</v>
      </c>
      <c r="J27" t="s">
        <v>35</v>
      </c>
      <c r="K27" t="str">
        <f t="shared" si="1"/>
        <v>R20260119-1-2</v>
      </c>
    </row>
    <row r="28" spans="1:11" x14ac:dyDescent="0.35">
      <c r="A28" t="s">
        <v>26</v>
      </c>
      <c r="B28">
        <f>COUNTIF($A$2:A28, A28)</f>
        <v>3</v>
      </c>
      <c r="C28" t="s">
        <v>13</v>
      </c>
      <c r="D28" t="s">
        <v>12</v>
      </c>
      <c r="E28" t="s">
        <v>14</v>
      </c>
      <c r="F28" t="s">
        <v>15</v>
      </c>
      <c r="G28" s="4">
        <v>9</v>
      </c>
      <c r="H28" s="4">
        <v>10</v>
      </c>
      <c r="I28" t="str">
        <f t="shared" si="0"/>
        <v>ML/MN</v>
      </c>
      <c r="J28" t="s">
        <v>36</v>
      </c>
      <c r="K28" t="str">
        <f t="shared" si="1"/>
        <v>R20260119-1-3</v>
      </c>
    </row>
    <row r="29" spans="1:11" x14ac:dyDescent="0.35">
      <c r="A29" t="s">
        <v>27</v>
      </c>
      <c r="B29">
        <f>COUNTIF($A$2:A29, A29)</f>
        <v>1</v>
      </c>
      <c r="C29" t="s">
        <v>15</v>
      </c>
      <c r="D29" t="s">
        <v>13</v>
      </c>
      <c r="E29" t="s">
        <v>14</v>
      </c>
      <c r="F29" t="s">
        <v>12</v>
      </c>
      <c r="G29" s="4">
        <v>5</v>
      </c>
      <c r="H29" s="4">
        <v>10</v>
      </c>
      <c r="I29" t="str">
        <f t="shared" si="0"/>
        <v>LX/MN</v>
      </c>
      <c r="J29" t="s">
        <v>37</v>
      </c>
      <c r="K29" t="str">
        <f t="shared" si="1"/>
        <v>R20260119-2-1</v>
      </c>
    </row>
    <row r="30" spans="1:11" x14ac:dyDescent="0.35">
      <c r="A30" t="s">
        <v>27</v>
      </c>
      <c r="B30">
        <f>COUNTIF($A$2:A30, A30)</f>
        <v>2</v>
      </c>
      <c r="C30" t="s">
        <v>14</v>
      </c>
      <c r="D30" t="s">
        <v>13</v>
      </c>
      <c r="E30" t="s">
        <v>15</v>
      </c>
      <c r="F30" t="s">
        <v>12</v>
      </c>
      <c r="G30" s="4">
        <v>9</v>
      </c>
      <c r="H30" s="4">
        <v>10</v>
      </c>
      <c r="I30" t="str">
        <f t="shared" si="0"/>
        <v>LX/ML</v>
      </c>
      <c r="J30" t="s">
        <v>36</v>
      </c>
      <c r="K30" t="str">
        <f t="shared" si="1"/>
        <v>R20260119-2-2</v>
      </c>
    </row>
    <row r="31" spans="1:11" x14ac:dyDescent="0.35">
      <c r="A31" t="s">
        <v>27</v>
      </c>
      <c r="B31">
        <f>COUNTIF($A$2:A31, A31)</f>
        <v>3</v>
      </c>
      <c r="C31" t="s">
        <v>13</v>
      </c>
      <c r="D31" t="s">
        <v>12</v>
      </c>
      <c r="E31" t="s">
        <v>15</v>
      </c>
      <c r="F31" t="s">
        <v>14</v>
      </c>
      <c r="G31" s="4">
        <v>8</v>
      </c>
      <c r="H31" s="4">
        <v>10</v>
      </c>
      <c r="I31" t="str">
        <f t="shared" si="0"/>
        <v>ML/MN</v>
      </c>
      <c r="J31" t="s">
        <v>38</v>
      </c>
      <c r="K31" t="str">
        <f t="shared" si="1"/>
        <v>R20260119-2-3</v>
      </c>
    </row>
    <row r="32" spans="1:11" x14ac:dyDescent="0.35">
      <c r="A32" t="s">
        <v>28</v>
      </c>
      <c r="B32">
        <f>COUNTIF($A$2:A32, A32)</f>
        <v>1</v>
      </c>
      <c r="C32" t="s">
        <v>13</v>
      </c>
      <c r="D32" t="s">
        <v>14</v>
      </c>
      <c r="E32" t="s">
        <v>12</v>
      </c>
      <c r="F32" t="s">
        <v>15</v>
      </c>
      <c r="G32" s="4">
        <v>2</v>
      </c>
      <c r="H32" s="4">
        <v>10</v>
      </c>
      <c r="I32" t="str">
        <f t="shared" si="0"/>
        <v>LX/ML</v>
      </c>
      <c r="J32" t="s">
        <v>34</v>
      </c>
      <c r="K32" t="str">
        <f t="shared" si="1"/>
        <v>R20260127-1-1</v>
      </c>
    </row>
    <row r="33" spans="1:11" x14ac:dyDescent="0.35">
      <c r="A33" t="s">
        <v>28</v>
      </c>
      <c r="B33">
        <f>COUNTIF($A$2:A33, A33)</f>
        <v>2</v>
      </c>
      <c r="C33" t="s">
        <v>12</v>
      </c>
      <c r="D33" t="s">
        <v>14</v>
      </c>
      <c r="E33" t="s">
        <v>13</v>
      </c>
      <c r="F33" t="s">
        <v>15</v>
      </c>
      <c r="G33" s="4">
        <v>4</v>
      </c>
      <c r="H33" s="4">
        <v>10</v>
      </c>
      <c r="I33" t="str">
        <f t="shared" si="0"/>
        <v>ML/VM</v>
      </c>
      <c r="J33" t="s">
        <v>36</v>
      </c>
      <c r="K33" t="str">
        <f t="shared" si="1"/>
        <v>R20260127-1-2</v>
      </c>
    </row>
    <row r="34" spans="1:11" x14ac:dyDescent="0.35">
      <c r="A34" t="s">
        <v>28</v>
      </c>
      <c r="B34">
        <f>COUNTIF($A$2:A34, A34)</f>
        <v>3</v>
      </c>
      <c r="C34" t="s">
        <v>12</v>
      </c>
      <c r="D34" t="s">
        <v>13</v>
      </c>
      <c r="E34" t="s">
        <v>15</v>
      </c>
      <c r="F34" t="s">
        <v>14</v>
      </c>
      <c r="G34" s="4">
        <v>3</v>
      </c>
      <c r="H34" s="4">
        <v>10</v>
      </c>
      <c r="I34" t="str">
        <f t="shared" si="0"/>
        <v>ML/MN</v>
      </c>
      <c r="J34" t="s">
        <v>36</v>
      </c>
      <c r="K34" t="str">
        <f t="shared" si="1"/>
        <v>R20260127-1-3</v>
      </c>
    </row>
    <row r="35" spans="1:11" x14ac:dyDescent="0.35">
      <c r="A35" t="s">
        <v>29</v>
      </c>
      <c r="B35">
        <f>COUNTIF($A$2:A35, A35)</f>
        <v>1</v>
      </c>
      <c r="C35" t="s">
        <v>15</v>
      </c>
      <c r="D35" t="s">
        <v>14</v>
      </c>
      <c r="E35" t="s">
        <v>12</v>
      </c>
      <c r="F35" t="s">
        <v>13</v>
      </c>
      <c r="G35" s="4">
        <v>9</v>
      </c>
      <c r="H35" s="4">
        <v>10</v>
      </c>
      <c r="I35" t="str">
        <f t="shared" si="0"/>
        <v>LX/VM</v>
      </c>
      <c r="J35" t="s">
        <v>36</v>
      </c>
      <c r="K35" t="str">
        <f t="shared" si="1"/>
        <v>R20260127-2-1</v>
      </c>
    </row>
    <row r="36" spans="1:11" x14ac:dyDescent="0.35">
      <c r="A36" t="s">
        <v>29</v>
      </c>
      <c r="B36">
        <f>COUNTIF($A$2:A36, A36)</f>
        <v>2</v>
      </c>
      <c r="C36" t="s">
        <v>13</v>
      </c>
      <c r="D36" t="s">
        <v>15</v>
      </c>
      <c r="E36" t="s">
        <v>12</v>
      </c>
      <c r="F36" t="s">
        <v>14</v>
      </c>
      <c r="G36" s="4">
        <v>6</v>
      </c>
      <c r="H36" s="4">
        <v>10</v>
      </c>
      <c r="I36" t="str">
        <f t="shared" si="0"/>
        <v>LX/MN</v>
      </c>
      <c r="J36" t="s">
        <v>39</v>
      </c>
      <c r="K36" t="str">
        <f t="shared" si="1"/>
        <v>R20260127-2-2</v>
      </c>
    </row>
    <row r="37" spans="1:11" x14ac:dyDescent="0.35">
      <c r="A37" t="s">
        <v>29</v>
      </c>
      <c r="B37">
        <f>COUNTIF($A$2:A37, A37)</f>
        <v>3</v>
      </c>
      <c r="C37" t="s">
        <v>15</v>
      </c>
      <c r="D37" t="s">
        <v>12</v>
      </c>
      <c r="E37" t="s">
        <v>13</v>
      </c>
      <c r="F37" t="s">
        <v>14</v>
      </c>
      <c r="G37" s="4">
        <v>4</v>
      </c>
      <c r="H37" s="4">
        <v>10</v>
      </c>
      <c r="I37" t="str">
        <f t="shared" si="0"/>
        <v>MN/VM</v>
      </c>
      <c r="J37" t="s">
        <v>40</v>
      </c>
      <c r="K37" t="str">
        <f t="shared" si="1"/>
        <v>R20260127-2-3</v>
      </c>
    </row>
    <row r="38" spans="1:11" x14ac:dyDescent="0.35">
      <c r="A38" t="s">
        <v>30</v>
      </c>
      <c r="B38">
        <f>COUNTIF($A$2:A38, A38)</f>
        <v>1</v>
      </c>
      <c r="C38" t="s">
        <v>12</v>
      </c>
      <c r="D38" t="s">
        <v>14</v>
      </c>
      <c r="E38" t="s">
        <v>15</v>
      </c>
      <c r="F38" t="s">
        <v>13</v>
      </c>
      <c r="G38" s="4">
        <v>5</v>
      </c>
      <c r="H38" s="4">
        <v>10</v>
      </c>
      <c r="I38" t="str">
        <f t="shared" si="0"/>
        <v>ML/VM</v>
      </c>
      <c r="J38" t="s">
        <v>34</v>
      </c>
      <c r="K38" t="str">
        <f t="shared" si="1"/>
        <v>R20260127-3-1</v>
      </c>
    </row>
    <row r="39" spans="1:11" x14ac:dyDescent="0.35">
      <c r="A39" t="s">
        <v>30</v>
      </c>
      <c r="B39">
        <f>COUNTIF($A$2:A39, A39)</f>
        <v>2</v>
      </c>
      <c r="C39" t="s">
        <v>14</v>
      </c>
      <c r="D39" t="s">
        <v>13</v>
      </c>
      <c r="E39" t="s">
        <v>12</v>
      </c>
      <c r="F39" t="s">
        <v>15</v>
      </c>
      <c r="G39" s="4">
        <v>7</v>
      </c>
      <c r="H39" s="4">
        <v>10</v>
      </c>
      <c r="I39" t="str">
        <f t="shared" si="0"/>
        <v>LX/ML</v>
      </c>
      <c r="J39" t="s">
        <v>36</v>
      </c>
      <c r="K39" t="str">
        <f t="shared" si="1"/>
        <v>R20260127-3-2</v>
      </c>
    </row>
    <row r="40" spans="1:11" x14ac:dyDescent="0.35">
      <c r="A40" t="s">
        <v>30</v>
      </c>
      <c r="B40">
        <f>COUNTIF($A$2:A40, A40)</f>
        <v>3</v>
      </c>
      <c r="C40" t="s">
        <v>15</v>
      </c>
      <c r="D40" t="s">
        <v>14</v>
      </c>
      <c r="E40" t="s">
        <v>12</v>
      </c>
      <c r="F40" t="s">
        <v>13</v>
      </c>
      <c r="G40" s="4">
        <v>7</v>
      </c>
      <c r="H40" s="4">
        <v>10</v>
      </c>
      <c r="I40" t="str">
        <f t="shared" si="0"/>
        <v>LX/VM</v>
      </c>
      <c r="J40" t="s">
        <v>35</v>
      </c>
      <c r="K40" t="str">
        <f t="shared" si="1"/>
        <v>R20260127-3-3</v>
      </c>
    </row>
    <row r="41" spans="1:11" x14ac:dyDescent="0.35">
      <c r="A41" t="s">
        <v>31</v>
      </c>
      <c r="B41">
        <f>COUNTIF($A$2:A41, A41)</f>
        <v>1</v>
      </c>
      <c r="C41" t="s">
        <v>13</v>
      </c>
      <c r="D41" t="s">
        <v>14</v>
      </c>
      <c r="E41" t="s">
        <v>15</v>
      </c>
      <c r="F41" t="s">
        <v>12</v>
      </c>
      <c r="G41" s="4">
        <v>8</v>
      </c>
      <c r="H41" s="4">
        <v>10</v>
      </c>
      <c r="I41" t="str">
        <f t="shared" si="0"/>
        <v>LX/ML</v>
      </c>
      <c r="K41" t="str">
        <f t="shared" si="1"/>
        <v>R20260203-1-1</v>
      </c>
    </row>
    <row r="42" spans="1:11" x14ac:dyDescent="0.35">
      <c r="A42" t="s">
        <v>31</v>
      </c>
      <c r="B42">
        <f>COUNTIF($A$2:A42, A42)</f>
        <v>2</v>
      </c>
      <c r="C42" t="s">
        <v>15</v>
      </c>
      <c r="D42" t="s">
        <v>14</v>
      </c>
      <c r="E42" t="s">
        <v>12</v>
      </c>
      <c r="F42" t="s">
        <v>13</v>
      </c>
      <c r="G42" s="4">
        <v>7</v>
      </c>
      <c r="H42" s="4">
        <v>10</v>
      </c>
      <c r="I42" t="str">
        <f t="shared" si="0"/>
        <v>LX/VM</v>
      </c>
      <c r="K42" t="str">
        <f t="shared" si="1"/>
        <v>R20260203-1-2</v>
      </c>
    </row>
    <row r="43" spans="1:11" x14ac:dyDescent="0.35">
      <c r="A43" t="s">
        <v>31</v>
      </c>
      <c r="B43">
        <f>COUNTIF($A$2:A43, A43)</f>
        <v>3</v>
      </c>
      <c r="C43" t="s">
        <v>14</v>
      </c>
      <c r="D43" t="s">
        <v>12</v>
      </c>
      <c r="E43" t="s">
        <v>15</v>
      </c>
      <c r="F43" t="s">
        <v>13</v>
      </c>
      <c r="G43" s="4">
        <v>6</v>
      </c>
      <c r="H43" s="4">
        <v>10</v>
      </c>
      <c r="I43" t="str">
        <f t="shared" si="0"/>
        <v>ML/VM</v>
      </c>
      <c r="K43" t="str">
        <f t="shared" si="1"/>
        <v>R20260203-1-3</v>
      </c>
    </row>
    <row r="44" spans="1:11" x14ac:dyDescent="0.35">
      <c r="A44" t="s">
        <v>32</v>
      </c>
      <c r="B44">
        <f>COUNTIF($A$2:A44, A44)</f>
        <v>1</v>
      </c>
      <c r="C44" t="s">
        <v>15</v>
      </c>
      <c r="D44" t="s">
        <v>13</v>
      </c>
      <c r="E44" t="s">
        <v>14</v>
      </c>
      <c r="F44" t="s">
        <v>12</v>
      </c>
      <c r="G44" s="4">
        <v>7</v>
      </c>
      <c r="H44" s="4">
        <v>10</v>
      </c>
      <c r="I44" t="str">
        <f t="shared" si="0"/>
        <v>LX/MN</v>
      </c>
      <c r="K44" t="str">
        <f t="shared" si="1"/>
        <v>R20260203-2-1</v>
      </c>
    </row>
    <row r="45" spans="1:11" x14ac:dyDescent="0.35">
      <c r="A45" t="s">
        <v>32</v>
      </c>
      <c r="B45">
        <f>COUNTIF($A$2:A45, A45)</f>
        <v>2</v>
      </c>
      <c r="C45" t="s">
        <v>12</v>
      </c>
      <c r="D45" t="s">
        <v>15</v>
      </c>
      <c r="E45" t="s">
        <v>14</v>
      </c>
      <c r="F45" t="s">
        <v>13</v>
      </c>
      <c r="G45" s="4">
        <v>0</v>
      </c>
      <c r="H45" s="4">
        <v>10</v>
      </c>
      <c r="I45" t="str">
        <f t="shared" si="0"/>
        <v>MN/VM</v>
      </c>
      <c r="K45" t="str">
        <f t="shared" si="1"/>
        <v>R20260203-2-2</v>
      </c>
    </row>
    <row r="46" spans="1:11" x14ac:dyDescent="0.35">
      <c r="A46" t="s">
        <v>32</v>
      </c>
      <c r="B46">
        <f>COUNTIF($A$2:A46, A46)</f>
        <v>3</v>
      </c>
      <c r="C46" t="s">
        <v>13</v>
      </c>
      <c r="D46" t="s">
        <v>12</v>
      </c>
      <c r="E46" t="s">
        <v>15</v>
      </c>
      <c r="F46" t="s">
        <v>14</v>
      </c>
      <c r="G46" s="4">
        <v>3</v>
      </c>
      <c r="H46" s="4">
        <v>10</v>
      </c>
      <c r="I46" t="str">
        <f t="shared" si="0"/>
        <v>ML/MN</v>
      </c>
      <c r="K46" t="str">
        <f t="shared" si="1"/>
        <v>R20260203-2-3</v>
      </c>
    </row>
    <row r="47" spans="1:11" x14ac:dyDescent="0.35">
      <c r="A47" t="s">
        <v>33</v>
      </c>
      <c r="B47">
        <f>COUNTIF($A$2:A47, A47)</f>
        <v>1</v>
      </c>
      <c r="C47" t="s">
        <v>14</v>
      </c>
      <c r="D47" t="s">
        <v>13</v>
      </c>
      <c r="E47" t="s">
        <v>12</v>
      </c>
      <c r="F47" t="s">
        <v>15</v>
      </c>
      <c r="G47" s="4">
        <v>7</v>
      </c>
      <c r="H47" s="4">
        <v>10</v>
      </c>
      <c r="I47" t="str">
        <f t="shared" si="0"/>
        <v>LX/ML</v>
      </c>
      <c r="K47" t="str">
        <f t="shared" si="1"/>
        <v>R20260203-3-1</v>
      </c>
    </row>
    <row r="48" spans="1:11" x14ac:dyDescent="0.35">
      <c r="A48" t="s">
        <v>33</v>
      </c>
      <c r="B48">
        <f>COUNTIF($A$2:A48, A48)</f>
        <v>2</v>
      </c>
      <c r="C48" t="s">
        <v>15</v>
      </c>
      <c r="D48" t="s">
        <v>14</v>
      </c>
      <c r="E48" t="s">
        <v>12</v>
      </c>
      <c r="F48" t="s">
        <v>13</v>
      </c>
      <c r="G48" s="4">
        <v>3</v>
      </c>
      <c r="H48" s="4">
        <v>10</v>
      </c>
      <c r="I48" t="str">
        <f t="shared" si="0"/>
        <v>LX/VM</v>
      </c>
      <c r="K48" t="str">
        <f t="shared" si="1"/>
        <v>R20260203-3-2</v>
      </c>
    </row>
    <row r="49" spans="1:11" x14ac:dyDescent="0.35">
      <c r="A49" t="s">
        <v>33</v>
      </c>
      <c r="B49">
        <f>COUNTIF($A$2:A49, A49)</f>
        <v>3</v>
      </c>
      <c r="C49" t="s">
        <v>15</v>
      </c>
      <c r="D49" t="s">
        <v>13</v>
      </c>
      <c r="E49" t="s">
        <v>14</v>
      </c>
      <c r="F49" t="s">
        <v>12</v>
      </c>
      <c r="G49" s="4">
        <v>4</v>
      </c>
      <c r="H49" s="4">
        <v>10</v>
      </c>
      <c r="I49" t="str">
        <f t="shared" si="0"/>
        <v>LX/MN</v>
      </c>
      <c r="K49" t="str">
        <f t="shared" si="1"/>
        <v>R20260203-3-3</v>
      </c>
    </row>
    <row r="50" spans="1:11" x14ac:dyDescent="0.35">
      <c r="A50" t="s">
        <v>48</v>
      </c>
      <c r="B50">
        <v>1</v>
      </c>
      <c r="C50" t="s">
        <v>15</v>
      </c>
      <c r="D50" t="s">
        <v>13</v>
      </c>
      <c r="E50" t="s">
        <v>14</v>
      </c>
      <c r="F50" t="s">
        <v>12</v>
      </c>
      <c r="G50" s="4">
        <v>3</v>
      </c>
      <c r="H50" s="4">
        <v>10</v>
      </c>
      <c r="I50" t="str">
        <f t="shared" si="0"/>
        <v>LX/MN</v>
      </c>
      <c r="K50" t="str">
        <f t="shared" si="1"/>
        <v>R20260216-1-1</v>
      </c>
    </row>
    <row r="51" spans="1:11" x14ac:dyDescent="0.35">
      <c r="A51" t="s">
        <v>48</v>
      </c>
      <c r="B51">
        <v>2</v>
      </c>
      <c r="C51" t="s">
        <v>14</v>
      </c>
      <c r="D51" t="s">
        <v>13</v>
      </c>
      <c r="E51" t="s">
        <v>15</v>
      </c>
      <c r="F51" t="s">
        <v>12</v>
      </c>
      <c r="G51" s="4">
        <v>3</v>
      </c>
      <c r="H51" s="4">
        <v>10</v>
      </c>
      <c r="I51" t="str">
        <f t="shared" si="0"/>
        <v>LX/ML</v>
      </c>
      <c r="K51" t="str">
        <f t="shared" si="1"/>
        <v>R20260216-1-2</v>
      </c>
    </row>
    <row r="52" spans="1:11" x14ac:dyDescent="0.35">
      <c r="A52" t="s">
        <v>48</v>
      </c>
      <c r="B52">
        <v>3</v>
      </c>
      <c r="C52" t="s">
        <v>15</v>
      </c>
      <c r="D52" t="s">
        <v>14</v>
      </c>
      <c r="E52" t="s">
        <v>13</v>
      </c>
      <c r="F52" t="s">
        <v>12</v>
      </c>
      <c r="G52" s="4">
        <v>3</v>
      </c>
      <c r="H52" s="4">
        <v>10</v>
      </c>
      <c r="I52" t="str">
        <f t="shared" si="0"/>
        <v>LX/VM</v>
      </c>
      <c r="K52" t="str">
        <f t="shared" si="1"/>
        <v>R20260216-1-3</v>
      </c>
    </row>
    <row r="53" spans="1:11" x14ac:dyDescent="0.35">
      <c r="A53" t="s">
        <v>49</v>
      </c>
      <c r="B53">
        <v>1</v>
      </c>
      <c r="C53" t="s">
        <v>14</v>
      </c>
      <c r="D53" t="s">
        <v>12</v>
      </c>
      <c r="E53" t="s">
        <v>15</v>
      </c>
      <c r="F53" t="s">
        <v>13</v>
      </c>
      <c r="G53" s="4">
        <v>6</v>
      </c>
      <c r="H53" s="4">
        <v>10</v>
      </c>
      <c r="I53" t="str">
        <f t="shared" si="0"/>
        <v>ML/VM</v>
      </c>
      <c r="K53" t="str">
        <f t="shared" si="1"/>
        <v>R20260216-2-1</v>
      </c>
    </row>
    <row r="54" spans="1:11" x14ac:dyDescent="0.35">
      <c r="A54" t="s">
        <v>49</v>
      </c>
      <c r="B54">
        <v>2</v>
      </c>
      <c r="C54" t="s">
        <v>15</v>
      </c>
      <c r="D54" t="s">
        <v>12</v>
      </c>
      <c r="E54" t="s">
        <v>13</v>
      </c>
      <c r="F54" t="s">
        <v>14</v>
      </c>
      <c r="G54" s="4">
        <v>2</v>
      </c>
      <c r="H54" s="4">
        <v>10</v>
      </c>
      <c r="I54" t="str">
        <f t="shared" si="0"/>
        <v>MN/VM</v>
      </c>
      <c r="K54" t="str">
        <f t="shared" si="1"/>
        <v>R20260216-2-2</v>
      </c>
    </row>
    <row r="55" spans="1:11" x14ac:dyDescent="0.35">
      <c r="A55" t="s">
        <v>49</v>
      </c>
      <c r="B55">
        <v>3</v>
      </c>
      <c r="C55" t="s">
        <v>14</v>
      </c>
      <c r="D55" t="s">
        <v>15</v>
      </c>
      <c r="E55" t="s">
        <v>13</v>
      </c>
      <c r="F55" t="s">
        <v>12</v>
      </c>
      <c r="G55" s="4">
        <v>6</v>
      </c>
      <c r="H55" s="4">
        <v>10</v>
      </c>
      <c r="I55" t="str">
        <f t="shared" si="0"/>
        <v>LX/VM</v>
      </c>
      <c r="K55" t="str">
        <f t="shared" si="1"/>
        <v>R20260216-2-3</v>
      </c>
    </row>
    <row r="56" spans="1:11" x14ac:dyDescent="0.35">
      <c r="A56" t="s">
        <v>50</v>
      </c>
      <c r="B56">
        <v>1</v>
      </c>
      <c r="C56" t="s">
        <v>12</v>
      </c>
      <c r="D56" t="s">
        <v>14</v>
      </c>
      <c r="E56" t="s">
        <v>13</v>
      </c>
      <c r="F56" t="s">
        <v>15</v>
      </c>
      <c r="G56" s="4">
        <v>2</v>
      </c>
      <c r="H56" s="4">
        <v>10</v>
      </c>
      <c r="I56" t="str">
        <f t="shared" si="0"/>
        <v>ML/VM</v>
      </c>
      <c r="K56" t="str">
        <f t="shared" si="1"/>
        <v>R20260216-3-1</v>
      </c>
    </row>
    <row r="57" spans="1:11" x14ac:dyDescent="0.35">
      <c r="A57" t="s">
        <v>50</v>
      </c>
      <c r="B57">
        <v>2</v>
      </c>
      <c r="C57" t="s">
        <v>12</v>
      </c>
      <c r="D57" t="s">
        <v>15</v>
      </c>
      <c r="E57" t="s">
        <v>13</v>
      </c>
      <c r="F57" t="s">
        <v>14</v>
      </c>
      <c r="G57" s="4">
        <v>1</v>
      </c>
      <c r="H57" s="4">
        <v>10</v>
      </c>
      <c r="I57" t="str">
        <f t="shared" si="0"/>
        <v>MN/VM</v>
      </c>
      <c r="K57" t="str">
        <f t="shared" si="1"/>
        <v>R20260216-3-2</v>
      </c>
    </row>
    <row r="58" spans="1:11" x14ac:dyDescent="0.35">
      <c r="A58" t="s">
        <v>52</v>
      </c>
      <c r="B58">
        <v>1</v>
      </c>
      <c r="C58" t="s">
        <v>14</v>
      </c>
      <c r="D58" t="s">
        <v>12</v>
      </c>
      <c r="E58" t="s">
        <v>15</v>
      </c>
      <c r="F58" t="s">
        <v>13</v>
      </c>
      <c r="G58" s="4">
        <v>4</v>
      </c>
      <c r="H58" s="4">
        <v>10</v>
      </c>
      <c r="I58" t="str">
        <f t="shared" si="0"/>
        <v>ML/VM</v>
      </c>
      <c r="K58" t="str">
        <f t="shared" si="1"/>
        <v>R20260312-1-1</v>
      </c>
    </row>
    <row r="59" spans="1:11" x14ac:dyDescent="0.35">
      <c r="A59" t="s">
        <v>52</v>
      </c>
      <c r="B59">
        <v>2</v>
      </c>
      <c r="C59" t="s">
        <v>13</v>
      </c>
      <c r="D59" t="s">
        <v>12</v>
      </c>
      <c r="E59" t="s">
        <v>14</v>
      </c>
      <c r="F59" t="s">
        <v>15</v>
      </c>
      <c r="G59" s="4">
        <v>7</v>
      </c>
      <c r="H59" s="4">
        <v>10</v>
      </c>
      <c r="I59" t="str">
        <f t="shared" si="0"/>
        <v>ML/MN</v>
      </c>
      <c r="K59" t="str">
        <f t="shared" si="1"/>
        <v>R20260312-1-2</v>
      </c>
    </row>
    <row r="60" spans="1:11" x14ac:dyDescent="0.35">
      <c r="A60" t="s">
        <v>52</v>
      </c>
      <c r="B60">
        <v>3</v>
      </c>
      <c r="C60" t="s">
        <v>15</v>
      </c>
      <c r="D60" t="s">
        <v>12</v>
      </c>
      <c r="E60" t="s">
        <v>13</v>
      </c>
      <c r="F60" t="s">
        <v>14</v>
      </c>
      <c r="G60" s="4">
        <v>6</v>
      </c>
      <c r="H60" s="4">
        <v>10</v>
      </c>
      <c r="I60" t="str">
        <f t="shared" si="0"/>
        <v>MN/VM</v>
      </c>
      <c r="K60" t="str">
        <f t="shared" si="1"/>
        <v>R20260312-1-3</v>
      </c>
    </row>
    <row r="61" spans="1:11" x14ac:dyDescent="0.35">
      <c r="A61" t="s">
        <v>53</v>
      </c>
      <c r="B61">
        <v>1</v>
      </c>
      <c r="C61" t="s">
        <v>14</v>
      </c>
      <c r="D61" t="s">
        <v>12</v>
      </c>
      <c r="E61" t="s">
        <v>15</v>
      </c>
      <c r="F61" t="s">
        <v>13</v>
      </c>
      <c r="G61" s="4">
        <v>4</v>
      </c>
      <c r="H61" s="4">
        <v>10</v>
      </c>
      <c r="I61" t="str">
        <f t="shared" si="0"/>
        <v>ML/VM</v>
      </c>
      <c r="K61" t="str">
        <f t="shared" si="1"/>
        <v>R20260318-1-1</v>
      </c>
    </row>
    <row r="62" spans="1:11" x14ac:dyDescent="0.35">
      <c r="A62" t="s">
        <v>53</v>
      </c>
      <c r="B62">
        <v>2</v>
      </c>
      <c r="C62" t="s">
        <v>12</v>
      </c>
      <c r="D62" t="s">
        <v>13</v>
      </c>
      <c r="E62" t="s">
        <v>15</v>
      </c>
      <c r="F62" t="s">
        <v>14</v>
      </c>
      <c r="G62" s="4">
        <v>8</v>
      </c>
      <c r="H62" s="4">
        <v>10</v>
      </c>
      <c r="I62" t="str">
        <f t="shared" si="0"/>
        <v>ML/MN</v>
      </c>
      <c r="K62" t="str">
        <f t="shared" si="1"/>
        <v>R20260318-1-2</v>
      </c>
    </row>
    <row r="63" spans="1:11" x14ac:dyDescent="0.35">
      <c r="A63" t="s">
        <v>53</v>
      </c>
      <c r="B63">
        <v>3</v>
      </c>
      <c r="C63" t="s">
        <v>13</v>
      </c>
      <c r="D63" t="s">
        <v>14</v>
      </c>
      <c r="E63" t="s">
        <v>15</v>
      </c>
      <c r="F63" t="s">
        <v>12</v>
      </c>
      <c r="G63" s="4">
        <v>4</v>
      </c>
      <c r="H63" s="4">
        <v>10</v>
      </c>
      <c r="I63" t="str">
        <f t="shared" si="0"/>
        <v>LX/ML</v>
      </c>
      <c r="K63" t="str">
        <f t="shared" si="1"/>
        <v>R20260318-1-3</v>
      </c>
    </row>
    <row r="64" spans="1:11" x14ac:dyDescent="0.35">
      <c r="A64" t="s">
        <v>54</v>
      </c>
      <c r="B64">
        <v>1</v>
      </c>
      <c r="C64" t="s">
        <v>13</v>
      </c>
      <c r="D64" t="s">
        <v>14</v>
      </c>
      <c r="E64" t="s">
        <v>15</v>
      </c>
      <c r="F64" t="s">
        <v>12</v>
      </c>
      <c r="G64" s="4">
        <v>3</v>
      </c>
      <c r="H64" s="4">
        <v>10</v>
      </c>
      <c r="I64" t="str">
        <f t="shared" si="0"/>
        <v>LX/ML</v>
      </c>
      <c r="K64" t="str">
        <f t="shared" si="1"/>
        <v>R20260318-2-1</v>
      </c>
    </row>
    <row r="65" spans="1:11" x14ac:dyDescent="0.35">
      <c r="A65" t="s">
        <v>54</v>
      </c>
      <c r="B65">
        <v>2</v>
      </c>
      <c r="C65" t="s">
        <v>12</v>
      </c>
      <c r="D65" t="s">
        <v>14</v>
      </c>
      <c r="E65" t="s">
        <v>15</v>
      </c>
      <c r="F65" t="s">
        <v>13</v>
      </c>
      <c r="G65" s="4">
        <v>9</v>
      </c>
      <c r="H65" s="4">
        <v>10</v>
      </c>
      <c r="I65" t="str">
        <f t="shared" si="0"/>
        <v>ML/VM</v>
      </c>
      <c r="K65" t="str">
        <f t="shared" si="1"/>
        <v>R20260318-2-2</v>
      </c>
    </row>
    <row r="66" spans="1:11" x14ac:dyDescent="0.35">
      <c r="A66" t="s">
        <v>54</v>
      </c>
      <c r="B66">
        <v>3</v>
      </c>
      <c r="C66" t="s">
        <v>13</v>
      </c>
      <c r="D66" t="s">
        <v>12</v>
      </c>
      <c r="E66" t="s">
        <v>14</v>
      </c>
      <c r="F66" t="s">
        <v>15</v>
      </c>
      <c r="G66" s="4">
        <v>3</v>
      </c>
      <c r="H66" s="4">
        <v>10</v>
      </c>
      <c r="I66" t="str">
        <f t="shared" si="0"/>
        <v>ML/MN</v>
      </c>
      <c r="K66" t="str">
        <f t="shared" si="1"/>
        <v>R20260318-2-3</v>
      </c>
    </row>
    <row r="67" spans="1:11" x14ac:dyDescent="0.35">
      <c r="A67" t="s">
        <v>55</v>
      </c>
      <c r="B67">
        <v>1</v>
      </c>
      <c r="C67" t="s">
        <v>13</v>
      </c>
      <c r="D67" t="s">
        <v>12</v>
      </c>
      <c r="E67" t="s">
        <v>15</v>
      </c>
      <c r="F67" t="s">
        <v>14</v>
      </c>
      <c r="G67" s="4">
        <v>9</v>
      </c>
      <c r="H67" s="4">
        <v>10</v>
      </c>
      <c r="I67" t="str">
        <f t="shared" si="0"/>
        <v>ML/MN</v>
      </c>
      <c r="K67" t="str">
        <f t="shared" ref="K67:K93" si="2">_xlfn.CONCAT(A67, "-", B67)</f>
        <v>R20260318-3-1</v>
      </c>
    </row>
    <row r="68" spans="1:11" x14ac:dyDescent="0.35">
      <c r="A68" t="s">
        <v>55</v>
      </c>
      <c r="B68">
        <v>2</v>
      </c>
      <c r="C68" t="s">
        <v>15</v>
      </c>
      <c r="D68" t="s">
        <v>12</v>
      </c>
      <c r="E68" t="s">
        <v>14</v>
      </c>
      <c r="F68" t="s">
        <v>13</v>
      </c>
      <c r="G68" s="4">
        <v>6</v>
      </c>
      <c r="H68" s="4">
        <v>10</v>
      </c>
      <c r="I68" t="str">
        <f t="shared" si="0"/>
        <v>MN/VM</v>
      </c>
      <c r="J68" t="s">
        <v>56</v>
      </c>
      <c r="K68" t="str">
        <f t="shared" si="2"/>
        <v>R20260318-3-2</v>
      </c>
    </row>
    <row r="69" spans="1:11" x14ac:dyDescent="0.35">
      <c r="A69" t="s">
        <v>55</v>
      </c>
      <c r="B69">
        <v>3</v>
      </c>
      <c r="C69" t="s">
        <v>15</v>
      </c>
      <c r="D69" t="s">
        <v>13</v>
      </c>
      <c r="E69" t="s">
        <v>14</v>
      </c>
      <c r="F69" t="s">
        <v>12</v>
      </c>
      <c r="G69" s="4">
        <v>4</v>
      </c>
      <c r="H69" s="4">
        <v>10</v>
      </c>
      <c r="I69" t="str">
        <f t="shared" si="0"/>
        <v>LX/MN</v>
      </c>
      <c r="J69" t="s">
        <v>57</v>
      </c>
      <c r="K69" t="str">
        <f t="shared" si="2"/>
        <v>R20260318-3-3</v>
      </c>
    </row>
    <row r="70" spans="1:11" x14ac:dyDescent="0.35">
      <c r="A70" t="s">
        <v>61</v>
      </c>
      <c r="B70">
        <v>1</v>
      </c>
      <c r="C70" t="s">
        <v>15</v>
      </c>
      <c r="D70" t="s">
        <v>14</v>
      </c>
      <c r="E70" t="s">
        <v>12</v>
      </c>
      <c r="F70" t="s">
        <v>13</v>
      </c>
      <c r="G70" s="4">
        <v>9</v>
      </c>
      <c r="H70" s="4">
        <v>10</v>
      </c>
      <c r="I70" t="str">
        <f t="shared" si="0"/>
        <v>LX/VM</v>
      </c>
      <c r="K70" t="str">
        <f t="shared" si="2"/>
        <v>R20260403-1-1</v>
      </c>
    </row>
    <row r="71" spans="1:11" x14ac:dyDescent="0.35">
      <c r="A71" t="s">
        <v>61</v>
      </c>
      <c r="B71">
        <v>2</v>
      </c>
      <c r="C71" t="s">
        <v>15</v>
      </c>
      <c r="D71" t="s">
        <v>13</v>
      </c>
      <c r="E71" t="s">
        <v>12</v>
      </c>
      <c r="F71" t="s">
        <v>14</v>
      </c>
      <c r="G71" s="4">
        <v>7</v>
      </c>
      <c r="H71" s="4">
        <v>10</v>
      </c>
      <c r="I71" t="str">
        <f t="shared" si="0"/>
        <v>LX/MN</v>
      </c>
      <c r="K71" t="str">
        <f t="shared" si="2"/>
        <v>R20260403-1-2</v>
      </c>
    </row>
    <row r="72" spans="1:11" x14ac:dyDescent="0.35">
      <c r="A72" t="s">
        <v>61</v>
      </c>
      <c r="B72">
        <v>3</v>
      </c>
      <c r="C72" t="s">
        <v>12</v>
      </c>
      <c r="D72" t="s">
        <v>15</v>
      </c>
      <c r="E72" t="s">
        <v>14</v>
      </c>
      <c r="F72" t="s">
        <v>13</v>
      </c>
      <c r="G72" s="4">
        <v>2</v>
      </c>
      <c r="H72" s="4">
        <v>10</v>
      </c>
      <c r="I72" t="str">
        <f t="shared" si="0"/>
        <v>MN/VM</v>
      </c>
      <c r="K72" t="str">
        <f t="shared" si="2"/>
        <v>R20260403-1-3</v>
      </c>
    </row>
    <row r="73" spans="1:11" x14ac:dyDescent="0.35">
      <c r="A73" t="s">
        <v>62</v>
      </c>
      <c r="B73">
        <v>1</v>
      </c>
      <c r="C73" t="s">
        <v>15</v>
      </c>
      <c r="D73" t="s">
        <v>13</v>
      </c>
      <c r="E73" t="s">
        <v>14</v>
      </c>
      <c r="F73" t="s">
        <v>12</v>
      </c>
      <c r="G73" s="4">
        <v>7</v>
      </c>
      <c r="H73" s="4">
        <v>10</v>
      </c>
      <c r="I73" t="str">
        <f t="shared" si="0"/>
        <v>LX/MN</v>
      </c>
      <c r="K73" t="str">
        <f t="shared" si="2"/>
        <v>R20260403-2-1</v>
      </c>
    </row>
    <row r="74" spans="1:11" x14ac:dyDescent="0.35">
      <c r="A74" t="s">
        <v>62</v>
      </c>
      <c r="B74">
        <v>2</v>
      </c>
      <c r="C74" t="s">
        <v>12</v>
      </c>
      <c r="D74" t="s">
        <v>13</v>
      </c>
      <c r="E74" t="s">
        <v>15</v>
      </c>
      <c r="F74" t="s">
        <v>14</v>
      </c>
      <c r="G74" s="4">
        <v>8</v>
      </c>
      <c r="H74" s="4">
        <v>10</v>
      </c>
      <c r="I74" t="str">
        <f t="shared" si="0"/>
        <v>ML/MN</v>
      </c>
      <c r="K74" t="str">
        <f t="shared" si="2"/>
        <v>R20260403-2-2</v>
      </c>
    </row>
    <row r="75" spans="1:11" x14ac:dyDescent="0.35">
      <c r="A75" t="s">
        <v>62</v>
      </c>
      <c r="B75">
        <v>3</v>
      </c>
      <c r="C75" t="s">
        <v>12</v>
      </c>
      <c r="D75" t="s">
        <v>15</v>
      </c>
      <c r="E75" t="s">
        <v>14</v>
      </c>
      <c r="F75" t="s">
        <v>13</v>
      </c>
      <c r="G75" s="4">
        <v>0</v>
      </c>
      <c r="H75" s="4">
        <v>10</v>
      </c>
      <c r="I75" t="str">
        <f t="shared" si="0"/>
        <v>MN/VM</v>
      </c>
      <c r="J75" t="s">
        <v>63</v>
      </c>
      <c r="K75" t="str">
        <f t="shared" si="2"/>
        <v>R20260403-2-3</v>
      </c>
    </row>
    <row r="76" spans="1:11" x14ac:dyDescent="0.35">
      <c r="A76" t="s">
        <v>65</v>
      </c>
      <c r="B76">
        <v>1</v>
      </c>
      <c r="C76" t="s">
        <v>15</v>
      </c>
      <c r="D76" t="s">
        <v>14</v>
      </c>
      <c r="E76" t="s">
        <v>12</v>
      </c>
      <c r="F76" t="s">
        <v>13</v>
      </c>
      <c r="G76" s="4">
        <v>9</v>
      </c>
      <c r="H76" s="4">
        <v>10</v>
      </c>
      <c r="I76" t="str">
        <f t="shared" si="0"/>
        <v>LX/VM</v>
      </c>
      <c r="K76" t="str">
        <f t="shared" si="2"/>
        <v>R20260406-1-1</v>
      </c>
    </row>
    <row r="77" spans="1:11" x14ac:dyDescent="0.35">
      <c r="A77" t="s">
        <v>65</v>
      </c>
      <c r="B77">
        <v>2</v>
      </c>
      <c r="C77" t="s">
        <v>15</v>
      </c>
      <c r="D77" t="s">
        <v>13</v>
      </c>
      <c r="E77" t="s">
        <v>14</v>
      </c>
      <c r="F77" t="s">
        <v>12</v>
      </c>
      <c r="G77" s="4">
        <v>5</v>
      </c>
      <c r="H77" s="4">
        <v>10</v>
      </c>
      <c r="I77" t="str">
        <f t="shared" si="0"/>
        <v>LX/MN</v>
      </c>
      <c r="K77" t="str">
        <f t="shared" si="2"/>
        <v>R20260406-1-2</v>
      </c>
    </row>
    <row r="78" spans="1:11" x14ac:dyDescent="0.35">
      <c r="A78" t="s">
        <v>65</v>
      </c>
      <c r="B78">
        <v>3</v>
      </c>
      <c r="C78" t="s">
        <v>15</v>
      </c>
      <c r="D78" t="s">
        <v>12</v>
      </c>
      <c r="E78" t="s">
        <v>14</v>
      </c>
      <c r="F78" t="s">
        <v>13</v>
      </c>
      <c r="G78" s="4">
        <v>1</v>
      </c>
      <c r="H78" s="4">
        <v>10</v>
      </c>
      <c r="I78" t="str">
        <f t="shared" si="0"/>
        <v>MN/VM</v>
      </c>
      <c r="K78" t="str">
        <f t="shared" si="2"/>
        <v>R20260406-1-3</v>
      </c>
    </row>
    <row r="79" spans="1:11" x14ac:dyDescent="0.35">
      <c r="A79" t="s">
        <v>66</v>
      </c>
      <c r="B79">
        <v>1</v>
      </c>
      <c r="C79" t="s">
        <v>14</v>
      </c>
      <c r="D79" t="s">
        <v>12</v>
      </c>
      <c r="E79" t="s">
        <v>13</v>
      </c>
      <c r="F79" t="s">
        <v>15</v>
      </c>
      <c r="G79" s="4">
        <v>4</v>
      </c>
      <c r="H79" s="4">
        <v>10</v>
      </c>
      <c r="I79" t="str">
        <f t="shared" si="0"/>
        <v>ML/VM</v>
      </c>
      <c r="K79" t="str">
        <f t="shared" si="2"/>
        <v>R20260406-2-1</v>
      </c>
    </row>
    <row r="80" spans="1:11" x14ac:dyDescent="0.35">
      <c r="A80" t="s">
        <v>66</v>
      </c>
      <c r="B80">
        <v>2</v>
      </c>
      <c r="C80" t="s">
        <v>15</v>
      </c>
      <c r="D80" t="s">
        <v>14</v>
      </c>
      <c r="E80" t="s">
        <v>13</v>
      </c>
      <c r="F80" t="s">
        <v>12</v>
      </c>
      <c r="G80" s="4">
        <v>1</v>
      </c>
      <c r="H80" s="4">
        <v>10</v>
      </c>
      <c r="I80" t="str">
        <f t="shared" si="0"/>
        <v>LX/VM</v>
      </c>
      <c r="J80" t="s">
        <v>67</v>
      </c>
      <c r="K80" t="str">
        <f t="shared" si="2"/>
        <v>R20260406-2-2</v>
      </c>
    </row>
    <row r="81" spans="1:11" x14ac:dyDescent="0.35">
      <c r="A81" t="s">
        <v>66</v>
      </c>
      <c r="B81">
        <v>3</v>
      </c>
      <c r="C81" t="s">
        <v>13</v>
      </c>
      <c r="D81" t="s">
        <v>14</v>
      </c>
      <c r="E81" t="s">
        <v>15</v>
      </c>
      <c r="F81" t="s">
        <v>12</v>
      </c>
      <c r="G81" s="4">
        <v>9</v>
      </c>
      <c r="H81" s="4">
        <v>10</v>
      </c>
      <c r="I81" t="str">
        <f t="shared" si="0"/>
        <v>LX/ML</v>
      </c>
      <c r="K81" t="str">
        <f t="shared" si="2"/>
        <v>R20260406-2-3</v>
      </c>
    </row>
    <row r="82" spans="1:11" x14ac:dyDescent="0.35">
      <c r="A82" t="s">
        <v>98</v>
      </c>
      <c r="B82">
        <v>1</v>
      </c>
      <c r="C82" t="s">
        <v>13</v>
      </c>
      <c r="D82" t="s">
        <v>15</v>
      </c>
      <c r="E82" t="s">
        <v>14</v>
      </c>
      <c r="F82" t="s">
        <v>12</v>
      </c>
      <c r="G82" s="4">
        <v>9</v>
      </c>
      <c r="H82" s="4">
        <v>10</v>
      </c>
      <c r="I82" t="str">
        <f t="shared" si="0"/>
        <v>LX/MN</v>
      </c>
      <c r="K82" t="str">
        <f t="shared" si="2"/>
        <v>R20260427-1-1</v>
      </c>
    </row>
    <row r="83" spans="1:11" x14ac:dyDescent="0.35">
      <c r="A83" t="s">
        <v>98</v>
      </c>
      <c r="B83">
        <v>2</v>
      </c>
      <c r="C83" t="s">
        <v>14</v>
      </c>
      <c r="D83" t="s">
        <v>13</v>
      </c>
      <c r="E83" t="s">
        <v>12</v>
      </c>
      <c r="F83" t="s">
        <v>15</v>
      </c>
      <c r="G83" s="4">
        <v>5</v>
      </c>
      <c r="H83" s="4">
        <v>10</v>
      </c>
      <c r="I83" t="str">
        <f t="shared" si="0"/>
        <v>LX/ML</v>
      </c>
      <c r="K83" t="str">
        <f t="shared" si="2"/>
        <v>R20260427-1-2</v>
      </c>
    </row>
    <row r="84" spans="1:11" x14ac:dyDescent="0.35">
      <c r="A84" t="s">
        <v>98</v>
      </c>
      <c r="B84">
        <v>3</v>
      </c>
      <c r="C84" t="s">
        <v>13</v>
      </c>
      <c r="D84" t="s">
        <v>12</v>
      </c>
      <c r="E84" t="s">
        <v>14</v>
      </c>
      <c r="F84" t="s">
        <v>15</v>
      </c>
      <c r="G84" s="4">
        <v>4</v>
      </c>
      <c r="H84" s="4">
        <v>10</v>
      </c>
      <c r="I84" t="str">
        <f t="shared" si="0"/>
        <v>ML/MN</v>
      </c>
      <c r="K84" t="str">
        <f t="shared" si="2"/>
        <v>R20260427-1-3</v>
      </c>
    </row>
    <row r="85" spans="1:11" x14ac:dyDescent="0.35">
      <c r="A85" t="s">
        <v>99</v>
      </c>
      <c r="B85">
        <v>1</v>
      </c>
      <c r="C85" t="s">
        <v>13</v>
      </c>
      <c r="D85" t="s">
        <v>12</v>
      </c>
      <c r="E85" t="s">
        <v>14</v>
      </c>
      <c r="F85" t="s">
        <v>15</v>
      </c>
      <c r="G85" s="4">
        <v>1</v>
      </c>
      <c r="H85" s="4">
        <v>10</v>
      </c>
      <c r="I85" t="str">
        <f t="shared" si="0"/>
        <v>ML/MN</v>
      </c>
      <c r="K85" t="str">
        <f t="shared" si="2"/>
        <v>R20260427-2-1</v>
      </c>
    </row>
    <row r="86" spans="1:11" x14ac:dyDescent="0.35">
      <c r="A86" t="s">
        <v>99</v>
      </c>
      <c r="B86">
        <v>2</v>
      </c>
      <c r="C86" t="s">
        <v>14</v>
      </c>
      <c r="D86" t="s">
        <v>12</v>
      </c>
      <c r="E86" t="s">
        <v>15</v>
      </c>
      <c r="F86" t="s">
        <v>13</v>
      </c>
      <c r="G86" s="4">
        <v>7</v>
      </c>
      <c r="H86" s="4">
        <v>10</v>
      </c>
      <c r="I86" t="str">
        <f t="shared" si="0"/>
        <v>ML/VM</v>
      </c>
      <c r="K86" t="str">
        <f t="shared" si="2"/>
        <v>R20260427-2-2</v>
      </c>
    </row>
    <row r="87" spans="1:11" x14ac:dyDescent="0.35">
      <c r="A87" t="s">
        <v>99</v>
      </c>
      <c r="B87">
        <v>3</v>
      </c>
      <c r="C87" t="s">
        <v>13</v>
      </c>
      <c r="D87" t="s">
        <v>14</v>
      </c>
      <c r="E87" t="s">
        <v>15</v>
      </c>
      <c r="F87" t="s">
        <v>12</v>
      </c>
      <c r="G87" s="4">
        <v>2</v>
      </c>
      <c r="H87" s="4">
        <v>10</v>
      </c>
      <c r="I87" t="str">
        <f t="shared" si="0"/>
        <v>LX/ML</v>
      </c>
      <c r="K87" t="str">
        <f t="shared" si="2"/>
        <v>R20260427-2-3</v>
      </c>
    </row>
    <row r="88" spans="1:11" x14ac:dyDescent="0.35">
      <c r="A88" t="s">
        <v>100</v>
      </c>
      <c r="B88">
        <v>1</v>
      </c>
      <c r="C88" t="s">
        <v>13</v>
      </c>
      <c r="D88" t="s">
        <v>15</v>
      </c>
      <c r="E88" t="s">
        <v>14</v>
      </c>
      <c r="F88" t="s">
        <v>12</v>
      </c>
      <c r="G88" s="4">
        <v>7</v>
      </c>
      <c r="H88" s="4">
        <v>10</v>
      </c>
      <c r="I88" t="str">
        <f t="shared" si="0"/>
        <v>LX/MN</v>
      </c>
      <c r="K88" t="str">
        <f t="shared" si="2"/>
        <v>R20260529-1-1</v>
      </c>
    </row>
    <row r="89" spans="1:11" x14ac:dyDescent="0.35">
      <c r="A89" t="s">
        <v>100</v>
      </c>
      <c r="B89">
        <v>2</v>
      </c>
      <c r="C89" t="s">
        <v>14</v>
      </c>
      <c r="D89" t="s">
        <v>13</v>
      </c>
      <c r="E89" t="s">
        <v>15</v>
      </c>
      <c r="F89" t="s">
        <v>12</v>
      </c>
      <c r="G89" s="4">
        <v>7</v>
      </c>
      <c r="H89" s="4">
        <v>10</v>
      </c>
      <c r="I89" t="str">
        <f t="shared" si="0"/>
        <v>LX/ML</v>
      </c>
      <c r="K89" t="str">
        <f t="shared" si="2"/>
        <v>R20260529-1-2</v>
      </c>
    </row>
    <row r="90" spans="1:11" x14ac:dyDescent="0.35">
      <c r="A90" t="s">
        <v>100</v>
      </c>
      <c r="B90">
        <v>3</v>
      </c>
      <c r="C90" t="s">
        <v>12</v>
      </c>
      <c r="D90" t="s">
        <v>13</v>
      </c>
      <c r="E90" t="s">
        <v>15</v>
      </c>
      <c r="F90" t="s">
        <v>14</v>
      </c>
      <c r="G90" s="4">
        <v>6</v>
      </c>
      <c r="H90" s="4">
        <v>10</v>
      </c>
      <c r="I90" t="str">
        <f t="shared" si="0"/>
        <v>ML/MN</v>
      </c>
      <c r="K90" t="str">
        <f t="shared" si="2"/>
        <v>R20260529-1-3</v>
      </c>
    </row>
    <row r="91" spans="1:11" x14ac:dyDescent="0.35">
      <c r="A91" t="s">
        <v>102</v>
      </c>
      <c r="B91">
        <v>1</v>
      </c>
      <c r="C91" t="s">
        <v>13</v>
      </c>
      <c r="D91" t="s">
        <v>15</v>
      </c>
      <c r="E91" t="s">
        <v>12</v>
      </c>
      <c r="F91" t="s">
        <v>14</v>
      </c>
      <c r="G91" s="4">
        <v>6</v>
      </c>
      <c r="H91" s="4">
        <v>10</v>
      </c>
      <c r="I91" t="str">
        <f t="shared" si="0"/>
        <v>LX/MN</v>
      </c>
      <c r="K91" t="str">
        <f t="shared" si="2"/>
        <v>R20260725-1-1</v>
      </c>
    </row>
    <row r="92" spans="1:11" x14ac:dyDescent="0.35">
      <c r="A92" t="s">
        <v>102</v>
      </c>
      <c r="B92">
        <v>2</v>
      </c>
      <c r="C92" t="s">
        <v>13</v>
      </c>
      <c r="D92" t="s">
        <v>12</v>
      </c>
      <c r="E92" t="s">
        <v>14</v>
      </c>
      <c r="F92" t="s">
        <v>15</v>
      </c>
      <c r="G92" s="4">
        <v>7</v>
      </c>
      <c r="H92" s="4">
        <v>10</v>
      </c>
      <c r="I92" t="str">
        <f t="shared" si="0"/>
        <v>ML/MN</v>
      </c>
      <c r="K92" t="str">
        <f t="shared" si="2"/>
        <v>R20260725-1-2</v>
      </c>
    </row>
    <row r="93" spans="1:11" x14ac:dyDescent="0.35">
      <c r="A93" t="s">
        <v>102</v>
      </c>
      <c r="B93">
        <v>3</v>
      </c>
      <c r="C93" t="s">
        <v>14</v>
      </c>
      <c r="D93" t="s">
        <v>13</v>
      </c>
      <c r="E93" t="s">
        <v>12</v>
      </c>
      <c r="F93" t="s">
        <v>15</v>
      </c>
      <c r="G93" s="4">
        <v>6</v>
      </c>
      <c r="H93" s="4">
        <v>10</v>
      </c>
      <c r="I93" t="str">
        <f t="shared" si="0"/>
        <v>LX/ML</v>
      </c>
      <c r="K93" t="str">
        <f t="shared" si="2"/>
        <v>R20260725-1-3</v>
      </c>
    </row>
    <row r="94" spans="1:11" x14ac:dyDescent="0.35">
      <c r="A94" t="s">
        <v>103</v>
      </c>
      <c r="B94">
        <v>1</v>
      </c>
      <c r="C94" t="s">
        <v>15</v>
      </c>
      <c r="D94" t="s">
        <v>14</v>
      </c>
      <c r="E94" t="s">
        <v>12</v>
      </c>
      <c r="F94" t="s">
        <v>13</v>
      </c>
      <c r="G94" s="4">
        <v>10</v>
      </c>
      <c r="H94" s="4">
        <v>6</v>
      </c>
      <c r="I94" t="str">
        <f>IF(G94&gt;H94,
   IF(C94&lt;D94, C94&amp;"/"&amp;D94, D94&amp;"/"&amp;C94),
   IF(E94&lt;F94, E94&amp;"/"&amp;F94, F94&amp;"/"&amp;E94)
)</f>
        <v>ML/MN</v>
      </c>
      <c r="K94" t="str">
        <f>_xlfn.CONCAT(A94, "-", B94)</f>
        <v>R20260903-1-1</v>
      </c>
    </row>
    <row r="95" spans="1:11" x14ac:dyDescent="0.35">
      <c r="A95" t="s">
        <v>103</v>
      </c>
      <c r="B95">
        <v>2</v>
      </c>
      <c r="C95" t="s">
        <v>13</v>
      </c>
      <c r="D95" t="s">
        <v>15</v>
      </c>
      <c r="E95" t="s">
        <v>14</v>
      </c>
      <c r="F95" t="s">
        <v>12</v>
      </c>
      <c r="G95" s="4">
        <v>10</v>
      </c>
      <c r="H95" s="4">
        <v>8</v>
      </c>
      <c r="I95" t="str">
        <f>IF(G95&gt;H95,
   IF(C95&lt;D95, C95&amp;"/"&amp;D95, D95&amp;"/"&amp;C95),
   IF(E95&lt;F95, E95&amp;"/"&amp;F95, F95&amp;"/"&amp;E95)
)</f>
        <v>ML/VM</v>
      </c>
      <c r="K95" t="str">
        <f>_xlfn.CONCAT(A95, "-", B95)</f>
        <v>R20260903-1-2</v>
      </c>
    </row>
  </sheetData>
  <phoneticPr fontId="1" type="noConversion"/>
  <dataValidations xWindow="450" yWindow="642" count="5">
    <dataValidation type="custom" allowBlank="1" showInputMessage="1" showErrorMessage="1" prompt="Each set must contain ML, VM, LX, MN exactly once._x000a_" sqref="C3:C49 C209:C1000" xr:uid="{737E90B9-0728-476C-94B5-607853B0DDF4}">
      <formula1>AND(   COUNTIF(Initials,C3)=1,   COUNTIF(Initials,D3)=1,   COUNTIF(Initials,E3)=1,   COUNTIF(Initials,F3)=1,   COUNTIF(C3:F3,C3)=1,   COUNTIF(C3:F3,D3)=1,   COUNTIF(C3:F3,E3)=1,   COUNTIF(C3:F3,F3)=1 )</formula1>
    </dataValidation>
    <dataValidation type="custom" allowBlank="1" showInputMessage="1" showErrorMessage="1" prompt="Each set must contain ML, VM, LX, MN exactly once._x000a_" sqref="C2 C50:C208" xr:uid="{88438B46-09FC-4EAE-9404-42FD2833382B}">
      <formula1>AND(   COUNTIF(Initials,C2)=1,    COUNTIF(Initials,D2)=1,    COUNTIF(Initials,E2)=1,    COUNTIF(Initials,F2)=1,    COUNTIF(C2:F2,C2)=1,   COUNTIF(C2:F2,D2)=1,   COUNTIF(C2:F2,E2)=1,   COUNTIF(C2:F2,F2)=1 )</formula1>
    </dataValidation>
    <dataValidation type="custom" allowBlank="1" showInputMessage="1" showErrorMessage="1" prompt="Each revolution has exactly 3 sets_x000a_" sqref="B243:B278" xr:uid="{AF4970CC-F18C-4774-8A7F-2F9CF391D258}">
      <formula1>OR(A242=1,A242=2,A242=3)</formula1>
    </dataValidation>
    <dataValidation type="whole" allowBlank="1" showInputMessage="1" showErrorMessage="1" prompt="Each revolution has exactly 3 sets_x000a_" sqref="B2:B242" xr:uid="{C23D772E-3576-4A51-8BD7-AAA0C4DB9C6B}">
      <formula1>1</formula1>
      <formula2>3</formula2>
    </dataValidation>
    <dataValidation allowBlank="1" showInputMessage="1" showErrorMessage="1" prompt="Winner is team who won 10 stone in a match. Initials sorted in alphabetical order" sqref="I1" xr:uid="{E5FCEAB3-66AB-42BF-96D8-532D17D47AEF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450" yWindow="642" count="1">
        <x14:dataValidation type="list" allowBlank="1" showDropDown="1" showInputMessage="1" showErrorMessage="1" xr:uid="{04EA5E39-9E48-4FB5-B448-8343745D3496}">
          <x14:formula1>
            <xm:f>Revolutions!$A:$A</xm:f>
          </x14:formula1>
          <xm:sqref>A1:A69 A91:A1048576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2676D-AD31-4A56-94A6-6312DC3D8F3D}">
  <dimension ref="A1:I86"/>
  <sheetViews>
    <sheetView zoomScale="70" zoomScaleNormal="70" workbookViewId="0">
      <pane ySplit="1" topLeftCell="A32" activePane="bottomLeft" state="frozen"/>
      <selection pane="bottomLeft" activeCell="E16" sqref="E16"/>
    </sheetView>
  </sheetViews>
  <sheetFormatPr defaultRowHeight="14.5" x14ac:dyDescent="0.35"/>
  <cols>
    <col min="1" max="1" width="15.1796875" customWidth="1"/>
    <col min="2" max="2" width="9.90625" customWidth="1"/>
    <col min="4" max="5" width="8.7265625" style="5"/>
    <col min="7" max="8" width="13.54296875" customWidth="1"/>
    <col min="9" max="9" width="9.6328125" customWidth="1"/>
  </cols>
  <sheetData>
    <row r="1" spans="1:9" x14ac:dyDescent="0.35">
      <c r="A1" t="s">
        <v>68</v>
      </c>
      <c r="B1" t="s">
        <v>70</v>
      </c>
      <c r="C1" t="s">
        <v>71</v>
      </c>
      <c r="D1" s="5" t="s">
        <v>72</v>
      </c>
      <c r="E1" s="5" t="s">
        <v>73</v>
      </c>
      <c r="F1" t="s">
        <v>74</v>
      </c>
      <c r="G1" t="s">
        <v>75</v>
      </c>
      <c r="H1" t="s">
        <v>85</v>
      </c>
      <c r="I1" t="s">
        <v>76</v>
      </c>
    </row>
    <row r="2" spans="1:9" x14ac:dyDescent="0.35">
      <c r="A2" t="s">
        <v>77</v>
      </c>
      <c r="B2">
        <v>1</v>
      </c>
      <c r="C2" t="s">
        <v>12</v>
      </c>
      <c r="D2" s="5" t="s">
        <v>78</v>
      </c>
      <c r="E2" s="5" t="s">
        <v>81</v>
      </c>
    </row>
    <row r="3" spans="1:9" x14ac:dyDescent="0.35">
      <c r="A3" t="s">
        <v>77</v>
      </c>
      <c r="B3">
        <v>2</v>
      </c>
      <c r="C3" t="s">
        <v>15</v>
      </c>
      <c r="D3" s="5" t="s">
        <v>78</v>
      </c>
      <c r="E3" s="5" t="s">
        <v>81</v>
      </c>
    </row>
    <row r="4" spans="1:9" x14ac:dyDescent="0.35">
      <c r="A4" t="s">
        <v>77</v>
      </c>
      <c r="B4">
        <v>3</v>
      </c>
      <c r="C4" t="s">
        <v>15</v>
      </c>
      <c r="D4" s="5" t="s">
        <v>79</v>
      </c>
      <c r="E4" s="5" t="s">
        <v>81</v>
      </c>
    </row>
    <row r="5" spans="1:9" x14ac:dyDescent="0.35">
      <c r="A5" t="s">
        <v>77</v>
      </c>
      <c r="B5">
        <v>4</v>
      </c>
      <c r="C5" t="s">
        <v>15</v>
      </c>
      <c r="D5" s="5" t="s">
        <v>79</v>
      </c>
      <c r="E5" s="5" t="s">
        <v>81</v>
      </c>
      <c r="F5" t="s">
        <v>69</v>
      </c>
      <c r="G5">
        <v>1</v>
      </c>
    </row>
    <row r="6" spans="1:9" x14ac:dyDescent="0.35">
      <c r="A6" t="s">
        <v>77</v>
      </c>
      <c r="B6">
        <v>5</v>
      </c>
      <c r="C6" t="s">
        <v>14</v>
      </c>
      <c r="D6" s="5" t="s">
        <v>78</v>
      </c>
      <c r="E6" s="5" t="s">
        <v>81</v>
      </c>
    </row>
    <row r="7" spans="1:9" x14ac:dyDescent="0.35">
      <c r="A7" t="s">
        <v>77</v>
      </c>
      <c r="B7">
        <v>6</v>
      </c>
      <c r="C7" t="s">
        <v>14</v>
      </c>
      <c r="D7" s="5" t="s">
        <v>78</v>
      </c>
      <c r="E7" s="5" t="s">
        <v>81</v>
      </c>
      <c r="F7" t="s">
        <v>69</v>
      </c>
      <c r="G7">
        <v>1</v>
      </c>
    </row>
    <row r="8" spans="1:9" x14ac:dyDescent="0.35">
      <c r="A8" t="s">
        <v>77</v>
      </c>
      <c r="B8">
        <v>7</v>
      </c>
      <c r="C8" t="s">
        <v>13</v>
      </c>
      <c r="D8" s="5" t="s">
        <v>80</v>
      </c>
    </row>
    <row r="9" spans="1:9" x14ac:dyDescent="0.35">
      <c r="A9" t="s">
        <v>77</v>
      </c>
      <c r="B9">
        <v>8</v>
      </c>
      <c r="C9" t="s">
        <v>13</v>
      </c>
      <c r="D9" s="5" t="s">
        <v>78</v>
      </c>
      <c r="E9" s="5" t="s">
        <v>82</v>
      </c>
    </row>
    <row r="10" spans="1:9" x14ac:dyDescent="0.35">
      <c r="A10" t="s">
        <v>83</v>
      </c>
      <c r="B10">
        <v>1</v>
      </c>
      <c r="C10" t="s">
        <v>12</v>
      </c>
      <c r="D10" s="5" t="s">
        <v>79</v>
      </c>
      <c r="E10" s="5" t="s">
        <v>81</v>
      </c>
    </row>
    <row r="11" spans="1:9" x14ac:dyDescent="0.35">
      <c r="A11" t="s">
        <v>83</v>
      </c>
      <c r="B11">
        <v>2</v>
      </c>
      <c r="C11" t="s">
        <v>15</v>
      </c>
      <c r="D11" s="5" t="s">
        <v>79</v>
      </c>
      <c r="E11" s="5" t="s">
        <v>82</v>
      </c>
    </row>
    <row r="12" spans="1:9" x14ac:dyDescent="0.35">
      <c r="A12" t="s">
        <v>83</v>
      </c>
      <c r="B12">
        <v>3</v>
      </c>
      <c r="C12" t="s">
        <v>14</v>
      </c>
      <c r="D12" s="5" t="s">
        <v>78</v>
      </c>
      <c r="E12" s="5" t="s">
        <v>82</v>
      </c>
    </row>
    <row r="13" spans="1:9" x14ac:dyDescent="0.35">
      <c r="A13" t="s">
        <v>83</v>
      </c>
      <c r="B13">
        <v>4</v>
      </c>
      <c r="C13" t="s">
        <v>13</v>
      </c>
      <c r="D13" s="5" t="s">
        <v>78</v>
      </c>
      <c r="E13" s="5" t="s">
        <v>82</v>
      </c>
    </row>
    <row r="14" spans="1:9" x14ac:dyDescent="0.35">
      <c r="A14" t="s">
        <v>83</v>
      </c>
      <c r="B14">
        <v>5</v>
      </c>
      <c r="C14" t="s">
        <v>13</v>
      </c>
      <c r="D14" s="5" t="s">
        <v>79</v>
      </c>
      <c r="E14" s="5" t="s">
        <v>81</v>
      </c>
    </row>
    <row r="15" spans="1:9" x14ac:dyDescent="0.35">
      <c r="A15" t="s">
        <v>83</v>
      </c>
      <c r="B15">
        <v>6</v>
      </c>
      <c r="C15" t="s">
        <v>13</v>
      </c>
      <c r="D15" s="5" t="s">
        <v>78</v>
      </c>
      <c r="E15" s="5" t="s">
        <v>82</v>
      </c>
    </row>
    <row r="16" spans="1:9" x14ac:dyDescent="0.35">
      <c r="A16" t="s">
        <v>84</v>
      </c>
      <c r="B16">
        <v>1</v>
      </c>
      <c r="C16" t="s">
        <v>12</v>
      </c>
      <c r="D16" s="5" t="s">
        <v>79</v>
      </c>
      <c r="E16" s="5" t="s">
        <v>81</v>
      </c>
    </row>
    <row r="17" spans="1:8" x14ac:dyDescent="0.35">
      <c r="A17" t="s">
        <v>84</v>
      </c>
      <c r="B17">
        <v>2</v>
      </c>
      <c r="C17" t="s">
        <v>12</v>
      </c>
      <c r="D17" s="5" t="s">
        <v>79</v>
      </c>
      <c r="E17" s="5" t="s">
        <v>81</v>
      </c>
    </row>
    <row r="18" spans="1:8" x14ac:dyDescent="0.35">
      <c r="A18" t="s">
        <v>84</v>
      </c>
      <c r="B18">
        <v>3</v>
      </c>
      <c r="C18" t="s">
        <v>12</v>
      </c>
      <c r="D18" s="5" t="s">
        <v>79</v>
      </c>
      <c r="E18" s="5" t="s">
        <v>82</v>
      </c>
      <c r="F18" t="s">
        <v>87</v>
      </c>
      <c r="H18" t="s">
        <v>88</v>
      </c>
    </row>
    <row r="19" spans="1:8" x14ac:dyDescent="0.35">
      <c r="A19" t="s">
        <v>84</v>
      </c>
      <c r="B19">
        <v>4</v>
      </c>
      <c r="C19" t="s">
        <v>15</v>
      </c>
      <c r="D19" s="5" t="s">
        <v>86</v>
      </c>
      <c r="E19" s="5" t="s">
        <v>82</v>
      </c>
    </row>
    <row r="20" spans="1:8" x14ac:dyDescent="0.35">
      <c r="A20" t="s">
        <v>84</v>
      </c>
      <c r="B20">
        <v>5</v>
      </c>
      <c r="C20" t="s">
        <v>15</v>
      </c>
      <c r="D20" s="5" t="s">
        <v>79</v>
      </c>
      <c r="E20" s="5" t="s">
        <v>82</v>
      </c>
    </row>
    <row r="21" spans="1:8" x14ac:dyDescent="0.35">
      <c r="A21" t="s">
        <v>84</v>
      </c>
      <c r="B21">
        <v>6</v>
      </c>
      <c r="C21" t="s">
        <v>13</v>
      </c>
      <c r="D21" s="5" t="s">
        <v>78</v>
      </c>
      <c r="E21" s="5" t="s">
        <v>81</v>
      </c>
    </row>
    <row r="22" spans="1:8" x14ac:dyDescent="0.35">
      <c r="A22" t="s">
        <v>89</v>
      </c>
      <c r="B22">
        <v>1</v>
      </c>
      <c r="C22" t="s">
        <v>12</v>
      </c>
      <c r="D22" s="5" t="s">
        <v>80</v>
      </c>
    </row>
    <row r="23" spans="1:8" x14ac:dyDescent="0.35">
      <c r="A23" t="s">
        <v>89</v>
      </c>
      <c r="B23">
        <v>2</v>
      </c>
      <c r="C23" t="s">
        <v>12</v>
      </c>
      <c r="D23" s="5" t="s">
        <v>78</v>
      </c>
      <c r="E23" s="5" t="s">
        <v>81</v>
      </c>
    </row>
    <row r="24" spans="1:8" x14ac:dyDescent="0.35">
      <c r="A24" t="s">
        <v>89</v>
      </c>
      <c r="B24">
        <v>3</v>
      </c>
      <c r="C24" t="s">
        <v>12</v>
      </c>
      <c r="D24" s="5" t="s">
        <v>78</v>
      </c>
      <c r="E24" s="5" t="s">
        <v>81</v>
      </c>
      <c r="F24" t="s">
        <v>69</v>
      </c>
      <c r="G24">
        <v>1</v>
      </c>
    </row>
    <row r="25" spans="1:8" x14ac:dyDescent="0.35">
      <c r="A25" t="s">
        <v>89</v>
      </c>
      <c r="B25">
        <v>4</v>
      </c>
      <c r="C25" t="s">
        <v>15</v>
      </c>
      <c r="D25" s="5" t="s">
        <v>79</v>
      </c>
      <c r="E25" s="5" t="s">
        <v>81</v>
      </c>
    </row>
    <row r="26" spans="1:8" x14ac:dyDescent="0.35">
      <c r="A26" t="s">
        <v>89</v>
      </c>
      <c r="B26">
        <v>5</v>
      </c>
      <c r="C26" t="s">
        <v>15</v>
      </c>
      <c r="D26" s="5" t="s">
        <v>79</v>
      </c>
      <c r="E26" s="5" t="s">
        <v>81</v>
      </c>
    </row>
    <row r="27" spans="1:8" x14ac:dyDescent="0.35">
      <c r="A27" t="s">
        <v>89</v>
      </c>
      <c r="B27">
        <v>6</v>
      </c>
      <c r="C27" t="s">
        <v>15</v>
      </c>
      <c r="D27" s="5" t="s">
        <v>79</v>
      </c>
      <c r="E27" s="5" t="s">
        <v>81</v>
      </c>
    </row>
    <row r="28" spans="1:8" x14ac:dyDescent="0.35">
      <c r="A28" t="s">
        <v>89</v>
      </c>
      <c r="B28">
        <v>7</v>
      </c>
      <c r="C28" t="s">
        <v>14</v>
      </c>
      <c r="D28" s="5" t="s">
        <v>79</v>
      </c>
      <c r="E28" s="5" t="s">
        <v>81</v>
      </c>
    </row>
    <row r="29" spans="1:8" x14ac:dyDescent="0.35">
      <c r="A29" t="s">
        <v>89</v>
      </c>
      <c r="B29">
        <v>8</v>
      </c>
      <c r="C29" t="s">
        <v>14</v>
      </c>
      <c r="D29" s="5" t="s">
        <v>79</v>
      </c>
      <c r="E29" s="5" t="s">
        <v>82</v>
      </c>
    </row>
    <row r="30" spans="1:8" x14ac:dyDescent="0.35">
      <c r="A30" t="s">
        <v>89</v>
      </c>
      <c r="B30">
        <v>9</v>
      </c>
      <c r="C30" t="s">
        <v>14</v>
      </c>
      <c r="D30" s="5" t="s">
        <v>78</v>
      </c>
      <c r="E30" s="5" t="s">
        <v>82</v>
      </c>
    </row>
    <row r="31" spans="1:8" x14ac:dyDescent="0.35">
      <c r="A31" t="s">
        <v>89</v>
      </c>
      <c r="B31">
        <v>10</v>
      </c>
      <c r="C31" t="s">
        <v>13</v>
      </c>
      <c r="D31" s="5" t="s">
        <v>78</v>
      </c>
      <c r="E31" s="5" t="s">
        <v>81</v>
      </c>
    </row>
    <row r="32" spans="1:8" x14ac:dyDescent="0.35">
      <c r="A32" t="s">
        <v>90</v>
      </c>
      <c r="B32">
        <v>1</v>
      </c>
      <c r="C32" t="s">
        <v>14</v>
      </c>
      <c r="D32" s="5" t="s">
        <v>78</v>
      </c>
      <c r="E32" s="5" t="s">
        <v>81</v>
      </c>
      <c r="F32" t="s">
        <v>69</v>
      </c>
      <c r="G32">
        <v>1</v>
      </c>
    </row>
    <row r="33" spans="1:5" x14ac:dyDescent="0.35">
      <c r="A33" t="s">
        <v>90</v>
      </c>
      <c r="B33">
        <v>2</v>
      </c>
      <c r="C33" t="s">
        <v>14</v>
      </c>
      <c r="D33" s="5" t="s">
        <v>79</v>
      </c>
      <c r="E33" s="5" t="s">
        <v>82</v>
      </c>
    </row>
    <row r="34" spans="1:5" x14ac:dyDescent="0.35">
      <c r="A34" t="s">
        <v>90</v>
      </c>
      <c r="B34">
        <v>3</v>
      </c>
      <c r="C34" t="s">
        <v>15</v>
      </c>
      <c r="D34" s="5" t="s">
        <v>79</v>
      </c>
      <c r="E34" s="5" t="s">
        <v>82</v>
      </c>
    </row>
    <row r="35" spans="1:5" x14ac:dyDescent="0.35">
      <c r="A35" t="s">
        <v>90</v>
      </c>
      <c r="B35">
        <v>4</v>
      </c>
      <c r="C35" t="s">
        <v>14</v>
      </c>
      <c r="D35" s="5" t="s">
        <v>78</v>
      </c>
      <c r="E35" s="5" t="s">
        <v>81</v>
      </c>
    </row>
    <row r="36" spans="1:5" x14ac:dyDescent="0.35">
      <c r="A36" t="s">
        <v>90</v>
      </c>
      <c r="B36">
        <v>5</v>
      </c>
      <c r="C36" t="s">
        <v>12</v>
      </c>
      <c r="D36" s="5" t="s">
        <v>79</v>
      </c>
      <c r="E36" s="5" t="s">
        <v>82</v>
      </c>
    </row>
    <row r="37" spans="1:5" x14ac:dyDescent="0.35">
      <c r="A37" t="s">
        <v>90</v>
      </c>
      <c r="B37">
        <v>6</v>
      </c>
      <c r="C37" t="s">
        <v>13</v>
      </c>
      <c r="D37" s="5" t="s">
        <v>79</v>
      </c>
      <c r="E37" s="5" t="s">
        <v>81</v>
      </c>
    </row>
    <row r="38" spans="1:5" x14ac:dyDescent="0.35">
      <c r="A38" t="s">
        <v>91</v>
      </c>
      <c r="B38">
        <v>1</v>
      </c>
      <c r="C38" t="s">
        <v>14</v>
      </c>
      <c r="D38" s="5" t="s">
        <v>78</v>
      </c>
      <c r="E38" s="5" t="s">
        <v>82</v>
      </c>
    </row>
    <row r="39" spans="1:5" x14ac:dyDescent="0.35">
      <c r="A39" t="s">
        <v>91</v>
      </c>
      <c r="B39">
        <v>2</v>
      </c>
      <c r="C39" t="s">
        <v>15</v>
      </c>
      <c r="D39" s="5" t="s">
        <v>79</v>
      </c>
      <c r="E39" s="5" t="s">
        <v>81</v>
      </c>
    </row>
    <row r="40" spans="1:5" x14ac:dyDescent="0.35">
      <c r="A40" t="s">
        <v>91</v>
      </c>
      <c r="B40">
        <v>3</v>
      </c>
      <c r="C40" t="s">
        <v>13</v>
      </c>
      <c r="D40" s="5" t="s">
        <v>79</v>
      </c>
      <c r="E40" s="5" t="s">
        <v>81</v>
      </c>
    </row>
    <row r="41" spans="1:5" x14ac:dyDescent="0.35">
      <c r="A41" t="s">
        <v>91</v>
      </c>
      <c r="B41">
        <v>4</v>
      </c>
      <c r="C41" t="s">
        <v>12</v>
      </c>
      <c r="D41" s="5" t="s">
        <v>78</v>
      </c>
      <c r="E41" s="5" t="s">
        <v>81</v>
      </c>
    </row>
    <row r="42" spans="1:5" x14ac:dyDescent="0.35">
      <c r="A42" t="s">
        <v>91</v>
      </c>
      <c r="B42">
        <v>5</v>
      </c>
      <c r="C42" t="s">
        <v>15</v>
      </c>
      <c r="D42" s="5" t="s">
        <v>79</v>
      </c>
      <c r="E42" s="5" t="s">
        <v>81</v>
      </c>
    </row>
    <row r="43" spans="1:5" x14ac:dyDescent="0.35">
      <c r="A43" t="s">
        <v>91</v>
      </c>
      <c r="B43">
        <v>6</v>
      </c>
      <c r="C43" t="s">
        <v>12</v>
      </c>
      <c r="D43" s="5" t="s">
        <v>78</v>
      </c>
      <c r="E43" s="5" t="s">
        <v>82</v>
      </c>
    </row>
    <row r="44" spans="1:5" x14ac:dyDescent="0.35">
      <c r="A44" t="s">
        <v>91</v>
      </c>
      <c r="B44">
        <v>7</v>
      </c>
      <c r="C44" t="s">
        <v>12</v>
      </c>
      <c r="D44" s="5" t="s">
        <v>79</v>
      </c>
      <c r="E44" s="5" t="s">
        <v>81</v>
      </c>
    </row>
    <row r="45" spans="1:5" x14ac:dyDescent="0.35">
      <c r="A45" t="s">
        <v>91</v>
      </c>
      <c r="B45">
        <v>8</v>
      </c>
      <c r="C45" t="s">
        <v>13</v>
      </c>
      <c r="D45" s="5" t="s">
        <v>80</v>
      </c>
    </row>
    <row r="46" spans="1:5" x14ac:dyDescent="0.35">
      <c r="A46" t="s">
        <v>91</v>
      </c>
      <c r="B46">
        <v>9</v>
      </c>
      <c r="C46" t="s">
        <v>14</v>
      </c>
      <c r="D46" s="5" t="s">
        <v>79</v>
      </c>
      <c r="E46" s="5" t="s">
        <v>82</v>
      </c>
    </row>
    <row r="47" spans="1:5" x14ac:dyDescent="0.35">
      <c r="A47" t="s">
        <v>91</v>
      </c>
      <c r="B47">
        <v>10</v>
      </c>
      <c r="C47" t="s">
        <v>13</v>
      </c>
      <c r="D47" s="5" t="s">
        <v>79</v>
      </c>
      <c r="E47" s="5" t="s">
        <v>81</v>
      </c>
    </row>
    <row r="48" spans="1:5" x14ac:dyDescent="0.35">
      <c r="A48" t="s">
        <v>92</v>
      </c>
      <c r="B48">
        <v>1</v>
      </c>
      <c r="C48" t="s">
        <v>14</v>
      </c>
      <c r="D48" s="5" t="s">
        <v>86</v>
      </c>
      <c r="E48" s="5" t="s">
        <v>82</v>
      </c>
    </row>
    <row r="49" spans="1:5" x14ac:dyDescent="0.35">
      <c r="A49" t="s">
        <v>92</v>
      </c>
      <c r="B49">
        <v>2</v>
      </c>
      <c r="C49" t="s">
        <v>14</v>
      </c>
      <c r="D49" s="5" t="s">
        <v>79</v>
      </c>
      <c r="E49" s="5" t="s">
        <v>81</v>
      </c>
    </row>
    <row r="50" spans="1:5" x14ac:dyDescent="0.35">
      <c r="A50" t="s">
        <v>92</v>
      </c>
      <c r="B50">
        <v>3</v>
      </c>
      <c r="C50" t="s">
        <v>13</v>
      </c>
      <c r="D50" s="5" t="s">
        <v>78</v>
      </c>
      <c r="E50" s="5" t="s">
        <v>81</v>
      </c>
    </row>
    <row r="51" spans="1:5" x14ac:dyDescent="0.35">
      <c r="A51" t="s">
        <v>92</v>
      </c>
      <c r="B51">
        <v>4</v>
      </c>
      <c r="C51" t="s">
        <v>12</v>
      </c>
      <c r="D51" s="5" t="s">
        <v>79</v>
      </c>
      <c r="E51" s="5" t="s">
        <v>81</v>
      </c>
    </row>
    <row r="52" spans="1:5" x14ac:dyDescent="0.35">
      <c r="A52" t="s">
        <v>92</v>
      </c>
      <c r="B52">
        <v>5</v>
      </c>
      <c r="C52" t="s">
        <v>14</v>
      </c>
      <c r="D52" s="5" t="s">
        <v>80</v>
      </c>
    </row>
    <row r="53" spans="1:5" x14ac:dyDescent="0.35">
      <c r="A53" t="s">
        <v>92</v>
      </c>
      <c r="B53">
        <v>6</v>
      </c>
      <c r="C53" t="s">
        <v>15</v>
      </c>
      <c r="D53" s="5" t="s">
        <v>79</v>
      </c>
      <c r="E53" s="5" t="s">
        <v>81</v>
      </c>
    </row>
    <row r="54" spans="1:5" x14ac:dyDescent="0.35">
      <c r="A54" t="s">
        <v>92</v>
      </c>
      <c r="B54">
        <v>7</v>
      </c>
      <c r="C54" t="s">
        <v>13</v>
      </c>
      <c r="D54" s="5" t="s">
        <v>79</v>
      </c>
      <c r="E54" s="5" t="s">
        <v>81</v>
      </c>
    </row>
    <row r="55" spans="1:5" x14ac:dyDescent="0.35">
      <c r="A55" t="s">
        <v>92</v>
      </c>
      <c r="B55">
        <v>8</v>
      </c>
      <c r="C55" t="s">
        <v>13</v>
      </c>
      <c r="D55" s="5" t="s">
        <v>79</v>
      </c>
      <c r="E55" s="5" t="s">
        <v>81</v>
      </c>
    </row>
    <row r="56" spans="1:5" x14ac:dyDescent="0.35">
      <c r="A56" t="s">
        <v>92</v>
      </c>
      <c r="B56">
        <v>9</v>
      </c>
      <c r="C56" t="s">
        <v>15</v>
      </c>
      <c r="D56" s="5" t="s">
        <v>79</v>
      </c>
      <c r="E56" s="5" t="s">
        <v>81</v>
      </c>
    </row>
    <row r="57" spans="1:5" x14ac:dyDescent="0.35">
      <c r="A57" t="s">
        <v>93</v>
      </c>
      <c r="B57">
        <v>1</v>
      </c>
      <c r="C57" t="s">
        <v>14</v>
      </c>
      <c r="D57" s="5" t="s">
        <v>79</v>
      </c>
      <c r="E57" s="5" t="s">
        <v>81</v>
      </c>
    </row>
    <row r="58" spans="1:5" x14ac:dyDescent="0.35">
      <c r="A58" t="s">
        <v>93</v>
      </c>
      <c r="B58">
        <v>2</v>
      </c>
      <c r="C58" t="s">
        <v>13</v>
      </c>
      <c r="D58" s="5" t="s">
        <v>79</v>
      </c>
      <c r="E58" s="5" t="s">
        <v>81</v>
      </c>
    </row>
    <row r="59" spans="1:5" x14ac:dyDescent="0.35">
      <c r="A59" t="s">
        <v>93</v>
      </c>
      <c r="B59">
        <v>3</v>
      </c>
      <c r="C59" t="s">
        <v>15</v>
      </c>
      <c r="D59" s="5" t="s">
        <v>79</v>
      </c>
      <c r="E59" s="5" t="s">
        <v>81</v>
      </c>
    </row>
    <row r="60" spans="1:5" x14ac:dyDescent="0.35">
      <c r="A60" t="s">
        <v>93</v>
      </c>
      <c r="B60">
        <v>4</v>
      </c>
      <c r="C60" t="s">
        <v>12</v>
      </c>
      <c r="D60" s="5" t="s">
        <v>79</v>
      </c>
      <c r="E60" s="5" t="s">
        <v>82</v>
      </c>
    </row>
    <row r="61" spans="1:5" x14ac:dyDescent="0.35">
      <c r="A61" t="s">
        <v>93</v>
      </c>
      <c r="B61">
        <v>5</v>
      </c>
      <c r="C61" t="s">
        <v>13</v>
      </c>
      <c r="D61" s="5" t="s">
        <v>79</v>
      </c>
      <c r="E61" s="5" t="s">
        <v>81</v>
      </c>
    </row>
    <row r="62" spans="1:5" x14ac:dyDescent="0.35">
      <c r="A62" t="s">
        <v>93</v>
      </c>
      <c r="B62">
        <v>6</v>
      </c>
      <c r="C62" t="s">
        <v>15</v>
      </c>
      <c r="D62" s="5" t="s">
        <v>79</v>
      </c>
      <c r="E62" s="5" t="s">
        <v>82</v>
      </c>
    </row>
    <row r="63" spans="1:5" x14ac:dyDescent="0.35">
      <c r="A63" t="s">
        <v>93</v>
      </c>
      <c r="B63">
        <v>7</v>
      </c>
      <c r="C63" t="s">
        <v>13</v>
      </c>
      <c r="D63" s="5" t="s">
        <v>79</v>
      </c>
      <c r="E63" s="5" t="s">
        <v>81</v>
      </c>
    </row>
    <row r="64" spans="1:5" x14ac:dyDescent="0.35">
      <c r="A64" t="s">
        <v>93</v>
      </c>
      <c r="B64">
        <v>8</v>
      </c>
      <c r="C64" t="s">
        <v>14</v>
      </c>
      <c r="D64" s="5" t="s">
        <v>79</v>
      </c>
      <c r="E64" s="5" t="s">
        <v>81</v>
      </c>
    </row>
    <row r="65" spans="1:7" x14ac:dyDescent="0.35">
      <c r="A65" t="s">
        <v>93</v>
      </c>
      <c r="B65">
        <v>9</v>
      </c>
      <c r="C65" t="s">
        <v>14</v>
      </c>
      <c r="D65" s="5" t="s">
        <v>78</v>
      </c>
      <c r="E65" s="5" t="s">
        <v>81</v>
      </c>
    </row>
    <row r="66" spans="1:7" x14ac:dyDescent="0.35">
      <c r="A66" t="s">
        <v>94</v>
      </c>
      <c r="C66" t="s">
        <v>14</v>
      </c>
      <c r="D66" s="5" t="s">
        <v>78</v>
      </c>
      <c r="E66" s="5" t="s">
        <v>81</v>
      </c>
      <c r="F66" t="s">
        <v>69</v>
      </c>
      <c r="G66">
        <v>0</v>
      </c>
    </row>
    <row r="67" spans="1:7" x14ac:dyDescent="0.35">
      <c r="A67" t="s">
        <v>94</v>
      </c>
      <c r="C67" t="s">
        <v>14</v>
      </c>
      <c r="D67" s="5" t="s">
        <v>78</v>
      </c>
      <c r="E67" s="5" t="s">
        <v>82</v>
      </c>
      <c r="F67" t="s">
        <v>95</v>
      </c>
    </row>
    <row r="68" spans="1:7" x14ac:dyDescent="0.35">
      <c r="A68" t="s">
        <v>94</v>
      </c>
      <c r="C68" t="s">
        <v>14</v>
      </c>
      <c r="D68" s="5" t="s">
        <v>78</v>
      </c>
      <c r="E68" s="5" t="s">
        <v>81</v>
      </c>
    </row>
    <row r="69" spans="1:7" x14ac:dyDescent="0.35">
      <c r="A69" t="s">
        <v>94</v>
      </c>
      <c r="C69" t="s">
        <v>14</v>
      </c>
      <c r="D69" s="5" t="s">
        <v>79</v>
      </c>
      <c r="E69" s="5" t="s">
        <v>82</v>
      </c>
    </row>
    <row r="70" spans="1:7" x14ac:dyDescent="0.35">
      <c r="A70" t="s">
        <v>94</v>
      </c>
      <c r="C70" t="s">
        <v>15</v>
      </c>
      <c r="D70" s="5" t="s">
        <v>79</v>
      </c>
      <c r="E70" s="5" t="s">
        <v>82</v>
      </c>
    </row>
    <row r="71" spans="1:7" x14ac:dyDescent="0.35">
      <c r="A71" t="s">
        <v>94</v>
      </c>
      <c r="C71" t="s">
        <v>15</v>
      </c>
      <c r="D71" s="5" t="s">
        <v>79</v>
      </c>
      <c r="E71" s="5" t="s">
        <v>81</v>
      </c>
    </row>
    <row r="72" spans="1:7" x14ac:dyDescent="0.35">
      <c r="A72" t="s">
        <v>94</v>
      </c>
      <c r="C72" t="s">
        <v>15</v>
      </c>
      <c r="D72" s="5" t="s">
        <v>79</v>
      </c>
      <c r="E72" s="5" t="s">
        <v>81</v>
      </c>
    </row>
    <row r="73" spans="1:7" x14ac:dyDescent="0.35">
      <c r="A73" t="s">
        <v>94</v>
      </c>
      <c r="C73" t="s">
        <v>15</v>
      </c>
      <c r="D73" s="5" t="s">
        <v>78</v>
      </c>
      <c r="E73" s="5" t="s">
        <v>81</v>
      </c>
    </row>
    <row r="74" spans="1:7" x14ac:dyDescent="0.35">
      <c r="A74" t="s">
        <v>96</v>
      </c>
      <c r="C74" t="s">
        <v>14</v>
      </c>
      <c r="D74" s="5" t="s">
        <v>79</v>
      </c>
      <c r="E74" s="5" t="s">
        <v>82</v>
      </c>
    </row>
    <row r="75" spans="1:7" x14ac:dyDescent="0.35">
      <c r="A75" t="s">
        <v>96</v>
      </c>
      <c r="C75" t="s">
        <v>14</v>
      </c>
      <c r="D75" s="5" t="s">
        <v>79</v>
      </c>
      <c r="E75" s="5" t="s">
        <v>81</v>
      </c>
    </row>
    <row r="76" spans="1:7" x14ac:dyDescent="0.35">
      <c r="A76" t="s">
        <v>96</v>
      </c>
      <c r="C76" t="s">
        <v>14</v>
      </c>
      <c r="D76" s="5" t="s">
        <v>78</v>
      </c>
      <c r="E76" s="5" t="s">
        <v>82</v>
      </c>
    </row>
    <row r="77" spans="1:7" x14ac:dyDescent="0.35">
      <c r="A77" t="s">
        <v>96</v>
      </c>
      <c r="C77" t="s">
        <v>15</v>
      </c>
      <c r="D77" s="5" t="s">
        <v>79</v>
      </c>
      <c r="E77" s="5" t="s">
        <v>82</v>
      </c>
    </row>
    <row r="78" spans="1:7" x14ac:dyDescent="0.35">
      <c r="A78" t="s">
        <v>96</v>
      </c>
      <c r="C78" t="s">
        <v>15</v>
      </c>
      <c r="D78" s="5" t="s">
        <v>79</v>
      </c>
      <c r="E78" s="5" t="s">
        <v>82</v>
      </c>
    </row>
    <row r="79" spans="1:7" x14ac:dyDescent="0.35">
      <c r="A79" t="s">
        <v>96</v>
      </c>
      <c r="C79" t="s">
        <v>13</v>
      </c>
      <c r="D79" s="5" t="s">
        <v>86</v>
      </c>
      <c r="E79" s="5" t="s">
        <v>81</v>
      </c>
    </row>
    <row r="80" spans="1:7" x14ac:dyDescent="0.35">
      <c r="A80" t="s">
        <v>96</v>
      </c>
      <c r="C80" t="s">
        <v>13</v>
      </c>
      <c r="D80" s="5" t="s">
        <v>79</v>
      </c>
      <c r="E80" s="5" t="s">
        <v>82</v>
      </c>
    </row>
    <row r="81" spans="1:6" x14ac:dyDescent="0.35">
      <c r="A81" t="s">
        <v>97</v>
      </c>
      <c r="C81" t="s">
        <v>14</v>
      </c>
      <c r="D81" s="5" t="s">
        <v>78</v>
      </c>
      <c r="E81" s="5" t="s">
        <v>82</v>
      </c>
    </row>
    <row r="82" spans="1:6" x14ac:dyDescent="0.35">
      <c r="A82" t="s">
        <v>97</v>
      </c>
      <c r="C82" t="s">
        <v>15</v>
      </c>
      <c r="D82" s="5" t="s">
        <v>78</v>
      </c>
      <c r="E82" s="5" t="s">
        <v>82</v>
      </c>
    </row>
    <row r="83" spans="1:6" x14ac:dyDescent="0.35">
      <c r="A83" t="s">
        <v>97</v>
      </c>
      <c r="C83" t="s">
        <v>15</v>
      </c>
      <c r="D83" s="5" t="s">
        <v>79</v>
      </c>
      <c r="E83" s="5" t="s">
        <v>81</v>
      </c>
    </row>
    <row r="84" spans="1:6" x14ac:dyDescent="0.35">
      <c r="A84" t="s">
        <v>97</v>
      </c>
      <c r="C84" t="s">
        <v>12</v>
      </c>
      <c r="D84" s="5" t="s">
        <v>78</v>
      </c>
      <c r="E84" s="5" t="s">
        <v>81</v>
      </c>
    </row>
    <row r="85" spans="1:6" x14ac:dyDescent="0.35">
      <c r="A85" t="s">
        <v>97</v>
      </c>
      <c r="C85" t="s">
        <v>13</v>
      </c>
      <c r="D85" s="5" t="s">
        <v>78</v>
      </c>
      <c r="E85" s="5" t="s">
        <v>82</v>
      </c>
    </row>
    <row r="86" spans="1:6" x14ac:dyDescent="0.35">
      <c r="A86" t="s">
        <v>97</v>
      </c>
      <c r="C86" t="s">
        <v>13</v>
      </c>
      <c r="D86" s="5" t="s">
        <v>78</v>
      </c>
      <c r="E86" s="5" t="s">
        <v>82</v>
      </c>
      <c r="F86" t="s">
        <v>87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4F995-3173-4CED-AE50-0BFB7C5A5258}">
  <dimension ref="A1:G5"/>
  <sheetViews>
    <sheetView tabSelected="1" topLeftCell="B1" zoomScale="115" zoomScaleNormal="115" workbookViewId="0">
      <pane ySplit="1" topLeftCell="A2" activePane="bottomLeft" state="frozen"/>
      <selection pane="bottomLeft" activeCell="L29" sqref="L29"/>
    </sheetView>
  </sheetViews>
  <sheetFormatPr defaultRowHeight="14.5" x14ac:dyDescent="0.35"/>
  <cols>
    <col min="2" max="2" width="54.453125" customWidth="1"/>
    <col min="3" max="3" width="16.1796875" customWidth="1"/>
    <col min="4" max="4" width="16.08984375" customWidth="1"/>
    <col min="5" max="5" width="15" customWidth="1"/>
    <col min="6" max="6" width="11.1796875" customWidth="1"/>
    <col min="7" max="7" width="12.453125" hidden="1" customWidth="1"/>
  </cols>
  <sheetData>
    <row r="1" spans="1:7" x14ac:dyDescent="0.35">
      <c r="A1" t="s">
        <v>41</v>
      </c>
      <c r="B1" t="s">
        <v>42</v>
      </c>
      <c r="C1" t="s">
        <v>44</v>
      </c>
      <c r="D1" t="s">
        <v>45</v>
      </c>
      <c r="E1" t="s">
        <v>46</v>
      </c>
      <c r="F1" t="s">
        <v>47</v>
      </c>
      <c r="G1" t="s">
        <v>64</v>
      </c>
    </row>
    <row r="2" spans="1:7" x14ac:dyDescent="0.35">
      <c r="A2" t="s">
        <v>12</v>
      </c>
      <c r="B2" t="s">
        <v>43</v>
      </c>
      <c r="C2" cm="1">
        <f t="array" aca="1" ref="C2" ca="1">SUMPRODUCT(
  --(
    (VALUE(LEFT(INDIRECT("Revolutions!F2:F"&amp;$G$2),FIND(" ",INDIRECT("Revolutions!F2:F"&amp;$G$2))-1)) =
     _xlfn.BYROW(INDIRECT("Revolutions!F2:I"&amp;$G$2),_xlfn.LAMBDA(_xlpm.r,MAX(VALUE(LEFT(_xlpm.r,FIND(" ",_xlpm.r)-1))))))
    *
    (VALUE(MID(INDIRECT("Revolutions!F2:F"&amp;$G$2),FIND("(",INDIRECT("Revolutions!F2:F"&amp;$G$2))+1,
      FIND(")",INDIRECT("Revolutions!F2:F"&amp;$G$2))-FIND("(",INDIRECT("Revolutions!F2:F"&amp;$G$2))-1)) =
     _xlfn.BYROW(INDIRECT("Revolutions!F2:I"&amp;$G$2),
       _xlfn.LAMBDA(_xlpm.r,
         _xlfn.LET(
           _xlpm.m, VALUE(LEFT(_xlpm.r,FIND(" ",_xlpm.r)-1)),
           _xlpm.s, VALUE(MID(_xlpm.r,FIND("(",_xlpm.r)+1,FIND(")",_xlpm.r)-FIND("(",_xlpm.r)-1)),
           MAX(IF(_xlpm.m=MAX(_xlpm.m),_xlpm.s))
         )
       )
     )
    )
  )
)</f>
        <v>7</v>
      </c>
      <c r="D2" cm="1">
        <f t="array" aca="1" ref="D2" ca="1">SUMPRODUCT(--LEFT(INDIRECT("Revolutions!F2:F"&amp;$G$2)))</f>
        <v>49</v>
      </c>
      <c r="E2" cm="1">
        <f t="array" aca="1" ref="E2" ca="1">SUMPRODUCT(--MID(INDIRECT("Revolutions!F2:F"&amp;$G$2), FIND("(",INDIRECT("Revolutions!F2:F"&amp;$G$2))+1, LEN(INDIRECT("Revolutions!F2:F"&amp;$G$2))-FIND("(",INDIRECT("Revolutions!F2:F"&amp;$G$2))-1))</f>
        <v>696</v>
      </c>
      <c r="F2" cm="1">
        <f t="array" aca="1" ref="F2" ca="1">SUM(
 _xlfn.BYROW(INDIRECT("Revolutions!F2:I"&amp;$G$2),
  _xlfn.LAMBDA(_xlpm.r,
   _xlfn.LET(
    _xlpm.vals,VALUE(LEFT(_xlpm.r,FIND(" ",_xlpm.r)-1))*1000+
         VALUE(MID(_xlpm.r,FIND("(",_xlpm.r)+1,FIND(")",_xlpm.r)-FIND("(",_xlpm.r)-1)),
    _xlpm.me,INDEX(_xlpm.vals,1),
    _xlpm.rank,1+SUM(--(_xlpm.vals&gt;_xlpm.me)),
    5-_xlpm.rank
   )
  )
 )
)</f>
        <v>79</v>
      </c>
      <c r="G2" cm="1">
        <f t="array" ref="G2">MATCH(2,1/(Revolutions!A:A&lt;&gt;""),1)</f>
        <v>32</v>
      </c>
    </row>
    <row r="3" spans="1:7" x14ac:dyDescent="0.35">
      <c r="A3" t="s">
        <v>15</v>
      </c>
      <c r="B3" t="s">
        <v>58</v>
      </c>
      <c r="C3" cm="1">
        <f t="array" aca="1" ref="C3" ca="1">SUMPRODUCT(
 --(
  (VALUE(LEFT(INDIRECT("Revolutions!G2:G"&amp;$G$2),FIND(" ",INDIRECT("Revolutions!G2:G"&amp;$G$2))-1))=
   _xlfn.BYROW(INDIRECT("Revolutions!F2:I"&amp;$G$2),_xlfn.LAMBDA(_xlpm.r,MAX(VALUE(LEFT(_xlpm.r,FIND(" ",_xlpm.r)-1))))))
 *
  (VALUE(MID(INDIRECT("Revolutions!G2:G"&amp;$G$2),FIND("(",INDIRECT("Revolutions!G2:G"&amp;$G$2))+1,
   FIND(")",INDIRECT("Revolutions!G2:G"&amp;$G$2))-FIND("(",INDIRECT("Revolutions!G2:G"&amp;$G$2))-1))=
   _xlfn.BYROW(INDIRECT("Revolutions!F2:I"&amp;$G$2),
    _xlfn.LAMBDA(_xlpm.r,
     _xlfn.LET(
      _xlpm.m,VALUE(LEFT(_xlpm.r,FIND(" ",_xlpm.r)-1)),
      _xlpm.s,VALUE(MID(_xlpm.r,FIND("(",_xlpm.r)+1,FIND(")",_xlpm.r)-FIND("(",_xlpm.r)-1)),
      MAX(IF(_xlpm.m=MAX(_xlpm.m),_xlpm.s))
     )
    )
   )
  )
 )
)</f>
        <v>10</v>
      </c>
      <c r="D3" cm="1">
        <f t="array" aca="1" ref="D3" ca="1">SUMPRODUCT(--LEFT(INDIRECT("Revolutions!G2:G"&amp;$G$2),1))</f>
        <v>52</v>
      </c>
      <c r="E3" cm="1">
        <f t="array" aca="1" ref="E3" ca="1">SUMPRODUCT(--MID(INDIRECT("Revolutions!G2:G"&amp;$G$2), FIND("(",INDIRECT("Revolutions!G2:G"&amp;$G$2))+1, LEN(INDIRECT("Revolutions!G2:G"&amp;$G$2))-FIND("(",INDIRECT("Revolutions!G2:G"&amp;$G$2))-1))</f>
        <v>707</v>
      </c>
      <c r="F3" cm="1">
        <f t="array" aca="1" ref="F3" ca="1">SUM(
 _xlfn.BYROW(INDIRECT("Revolutions!F2:I"&amp;$G$2),
  _xlfn.LAMBDA(_xlpm.r,
   _xlfn.LET(
    _xlpm.vals,VALUE(LEFT(_xlpm.r,FIND(" ",_xlpm.r)-1))*1000+
         VALUE(MID(_xlpm.r,FIND("(",_xlpm.r)+1,FIND(")",_xlpm.r)-FIND("(",_xlpm.r)-1)),
    _xlpm.me,INDEX(_xlpm.vals,2),
    _xlpm.rank,1+SUM(--(_xlpm.vals&gt;_xlpm.me)),
    5-_xlpm.rank
   )
  )
 )
)</f>
        <v>81</v>
      </c>
    </row>
    <row r="4" spans="1:7" x14ac:dyDescent="0.35">
      <c r="A4" t="s">
        <v>14</v>
      </c>
      <c r="B4" t="s">
        <v>59</v>
      </c>
      <c r="C4" cm="1">
        <f t="array" aca="1" ref="C4" ca="1">SUMPRODUCT(
 --(
  (VALUE(LEFT(INDIRECT("Revolutions!H2:H"&amp;$G$2),FIND(" ",INDIRECT("Revolutions!H2:H"&amp;$G$2))-1))=
   _xlfn.BYROW(INDIRECT("Revolutions!F2:I"&amp;$G$2),_xlfn.LAMBDA(_xlpm.r,MAX(VALUE(LEFT(_xlpm.r,FIND(" ",_xlpm.r)-1))))))
 *
  (VALUE(MID(INDIRECT("Revolutions!H2:H"&amp;$G$2),FIND("(",INDIRECT("Revolutions!H2:H"&amp;$G$2))+1,
   FIND(")",INDIRECT("Revolutions!H2:H"&amp;$G$2))-FIND("(",INDIRECT("Revolutions!H2:H"&amp;$G$2))-1))=
   _xlfn.BYROW(INDIRECT("Revolutions!F2:I"&amp;$G$2),
    _xlfn.LAMBDA(_xlpm.r,
     _xlfn.LET(
      _xlpm.m,VALUE(LEFT(_xlpm.r,FIND(" ",_xlpm.r)-1)),
      _xlpm.s,VALUE(MID(_xlpm.r,FIND("(",_xlpm.r)+1,FIND(")",_xlpm.r)-FIND("(",_xlpm.r)-1)),
      MAX(IF(_xlpm.m=MAX(_xlpm.m),_xlpm.s))
     )
    )
   )
  )
 )
)</f>
        <v>11</v>
      </c>
      <c r="D4" cm="1">
        <f t="array" aca="1" ref="D4" ca="1">SUMPRODUCT(--LEFT(INDIRECT("Revolutions!H2:H"&amp;$G$2)))</f>
        <v>50</v>
      </c>
      <c r="E4" cm="1">
        <f t="array" aca="1" ref="E4" ca="1">SUMPRODUCT(--MID(INDIRECT("Revolutions!H2:H"&amp;$G$2), FIND("(",INDIRECT("Revolutions!H2:H"&amp;$G$2))+1, LEN(INDIRECT("Revolutions!H2:H"&amp;$G$2))-FIND("(",INDIRECT("Revolutions!H2:H"&amp;$G$2))-1))</f>
        <v>737</v>
      </c>
      <c r="F4" cm="1">
        <f t="array" aca="1" ref="F4" ca="1">SUM(
 _xlfn.BYROW(INDIRECT("Revolutions!F2:I"&amp;$G$2),
  _xlfn.LAMBDA(_xlpm.r,
   _xlfn.LET(
    _xlpm.vals,VALUE(LEFT(_xlpm.r,FIND(" ",_xlpm.r)-1))*1000+
         VALUE(MID(_xlpm.r,FIND("(",_xlpm.r)+1,FIND(")",_xlpm.r)-FIND("(",_xlpm.r)-1)),
    _xlpm.me,INDEX(_xlpm.vals,3),
    _xlpm.rank,1+SUM(--(_xlpm.vals&gt;_xlpm.me)),
    5-_xlpm.rank
   )
  )
 )
)</f>
        <v>90</v>
      </c>
    </row>
    <row r="5" spans="1:7" x14ac:dyDescent="0.35">
      <c r="A5" t="s">
        <v>13</v>
      </c>
      <c r="B5" t="s">
        <v>60</v>
      </c>
      <c r="C5" cm="1">
        <f t="array" aca="1" ref="C5" ca="1">SUMPRODUCT(
 --(
  (VALUE(LEFT(INDIRECT("Revolutions!I2:I"&amp;$G$2),FIND(" ",INDIRECT("Revolutions!I2:I"&amp;$G$2))-1))=
   _xlfn.BYROW(INDIRECT("Revolutions!F2:I"&amp;$G$2),_xlfn.LAMBDA(_xlpm.r,MAX(VALUE(LEFT(_xlpm.r,FIND(" ",_xlpm.r)-1))))))
 *
  (VALUE(MID(INDIRECT("Revolutions!I2:I"&amp;$G$2),FIND("(",INDIRECT("Revolutions!I2:I"&amp;$G$2))+1,
   FIND(")",INDIRECT("Revolutions!I2:I"&amp;$G$2))-FIND("(",INDIRECT("Revolutions!I2:I"&amp;$G$2))-1))=
   _xlfn.BYROW(INDIRECT("Revolutions!F2:I"&amp;$G$2),
    _xlfn.LAMBDA(_xlpm.r,
     _xlfn.LET(
      _xlpm.m,VALUE(LEFT(_xlpm.r,FIND(" ",_xlpm.r)-1)),
      _xlpm.s,VALUE(MID(_xlpm.r,FIND("(",_xlpm.r)+1,FIND(")",_xlpm.r)-FIND("(",_xlpm.r)-1)),
      MAX(IF(_xlpm.m=MAX(_xlpm.m),_xlpm.s))
     )
    )
   )
  )
 )
)</f>
        <v>6</v>
      </c>
      <c r="D5" cm="1">
        <f t="array" aca="1" ref="D5" ca="1">SUMPRODUCT(--LEFT(INDIRECT("Revolutions!I2:I"&amp;$G$2),1))</f>
        <v>33</v>
      </c>
      <c r="E5" cm="1">
        <f t="array" aca="1" ref="E5" ca="1">SUMPRODUCT(--MID(INDIRECT("Revolutions!I2:I"&amp;$G$2), FIND("(",INDIRECT("Revolutions!I2:I"&amp;$G$2))+1, LEN(INDIRECT("Revolutions!I2:I"&amp;$G$2))-FIND("(",INDIRECT("Revolutions!I2:I"&amp;$G$2))-1))</f>
        <v>658</v>
      </c>
      <c r="F5" cm="1">
        <f t="array" aca="1" ref="F5" ca="1">SUM(
 _xlfn.BYROW(INDIRECT("Revolutions!F2:I"&amp;$G$2),
  _xlfn.LAMBDA(_xlpm.r,
   _xlfn.LET(
    _xlpm.vals,VALUE(LEFT(_xlpm.r,FIND(" ",_xlpm.r)-1))*1000+
         VALUE(MID(_xlpm.r,FIND("(",_xlpm.r)+1,FIND(")",_xlpm.r)-FIND("(",_xlpm.r)-1)),
    _xlpm.me,INDEX(_xlpm.vals,4),
    _xlpm.rank,1+SUM(--(_xlpm.vals&gt;_xlpm.me)),
    5-_xlpm.rank
   )
  )
 )
)</f>
        <v>71</v>
      </c>
    </row>
  </sheetData>
  <conditionalFormatting sqref="C2:C5">
    <cfRule type="top10" dxfId="7" priority="7" bottom="1" rank="1"/>
    <cfRule type="top10" dxfId="6" priority="8" rank="1"/>
  </conditionalFormatting>
  <conditionalFormatting sqref="D2:D5">
    <cfRule type="top10" dxfId="5" priority="5" bottom="1" rank="1"/>
    <cfRule type="top10" dxfId="4" priority="6" rank="1"/>
  </conditionalFormatting>
  <conditionalFormatting sqref="E2:E5">
    <cfRule type="top10" dxfId="3" priority="3" bottom="1" rank="1"/>
    <cfRule type="top10" dxfId="2" priority="4" rank="1"/>
  </conditionalFormatting>
  <conditionalFormatting sqref="F2:F5">
    <cfRule type="top10" dxfId="1" priority="1" bottom="1" rank="1"/>
    <cfRule type="top10" dxfId="0" priority="2" rank="1"/>
  </conditionalFormatting>
  <dataValidations xWindow="1523" yWindow="523" count="4">
    <dataValidation allowBlank="1" showInputMessage="1" showErrorMessage="1" prompt="&quot;Revolutions won&quot; is the total number of revolutions won by a player. This is calculated by the winner of the most matches, tiebroken by number of stone given. If there is still a tie, both players will get a point for that given revolution." sqref="C1" xr:uid="{D3D77359-A6B3-4EEE-BEE6-F183B72A36DB}"/>
    <dataValidation allowBlank="1" showInputMessage="1" showErrorMessage="1" prompt="&quot;Matches won&quot; simply is the total number of matches won by a player. " sqref="D1" xr:uid="{5714768D-E12A-4EEB-A7A3-FDC2ADF0CE2F}"/>
    <dataValidation allowBlank="1" showInputMessage="1" showErrorMessage="1" prompt="&quot;Total stone given&quot; simply is the total number of stone given by a given player. Can be calculated from the summation of the revolution table (score in brackets)._x000a_" sqref="E1" xr:uid="{C37DAB73-96C6-4A09-AC35-E4D0BBB8EEE5}"/>
    <dataValidation allowBlank="1" showInputMessage="1" showErrorMessage="1" prompt="&quot;Total score&quot; is based off revolution, taking into consideration placement. 1st place gets 4 points, 2nd = 3, 3rd = 2, 4th = 1. A tie in placement (as defined in &quot;revolutions won&quot;) will result in that placement having multiple players receiving that place" sqref="F1" xr:uid="{FC8E1420-2DDC-4BD8-9B25-EB0278331E7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Revolutions</vt:lpstr>
      <vt:lpstr>Matches</vt:lpstr>
      <vt:lpstr>Betting</vt:lpstr>
      <vt:lpstr>By Player</vt:lpstr>
      <vt:lpstr>Initials</vt:lpstr>
      <vt:lpstr>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Labouchardiere</dc:creator>
  <cp:lastModifiedBy>Marc Labouchardiere (23857377)</cp:lastModifiedBy>
  <dcterms:created xsi:type="dcterms:W3CDTF">2015-06-05T18:17:20Z</dcterms:created>
  <dcterms:modified xsi:type="dcterms:W3CDTF">2026-07-26T05:21:43Z</dcterms:modified>
</cp:coreProperties>
</file>